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9f0f7abf76433c" /></Relationships>
</file>

<file path=xl/workbook.xml><?xml version="1.0" encoding="utf-8"?>
<x:workbook xmlns:x="http://schemas.openxmlformats.org/spreadsheetml/2006/main">
  <x:sheets>
    <x:sheet xmlns:r="http://schemas.openxmlformats.org/officeDocument/2006/relationships" name="Summary" sheetId="1" r:id="R57da3bf5987a4bb3"/>
    <x:sheet xmlns:r="http://schemas.openxmlformats.org/officeDocument/2006/relationships" name="Decision Deltas" sheetId="2" r:id="R45d159739d074e69"/>
    <x:sheet xmlns:r="http://schemas.openxmlformats.org/officeDocument/2006/relationships" name="Pending Evidence" sheetId="3" r:id="R3ed9a2f0249c4fe6"/>
    <x:sheet xmlns:r="http://schemas.openxmlformats.org/officeDocument/2006/relationships" name="All Evidence" sheetId="4" r:id="R9469a2e4ba9f4cf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8">
    <x:font>
      <x:sz val="11"/>
      <x:name val="Carlito"/>
    </x:font>
    <x:font>
      <x:sz val="11"/>
      <x:color rgb="FF1F2937"/>
      <x:name val="Aptos"/>
    </x:font>
    <x:font>
      <x:b/>
      <x:sz val="16"/>
      <x:color rgb="FFFFFFFF"/>
      <x:name val="Aptos"/>
    </x:font>
    <x:font>
      <x:b/>
      <x:sz val="11"/>
      <x:color rgb="FF1F2937"/>
      <x:name val="Aptos"/>
    </x:font>
    <x:font>
      <x:b/>
      <x:sz val="11"/>
      <x:color rgb="FFFFFFFF"/>
      <x:name val="Aptos"/>
    </x:font>
    <x:font>
      <x:b/>
      <x:sz val="16"/>
      <x:color rgb="FFFFFFFF"/>
      <x:name val="Aptos Display"/>
    </x:font>
    <x:font>
      <x:sz val="10"/>
      <x:color rgb="FF1F2937"/>
      <x:name val="Aptos"/>
    </x:font>
    <x:font>
      <x:b/>
      <x:sz val="10"/>
      <x:color rgb="FFFFFFFF"/>
      <x:name val="Aptos"/>
    </x:font>
  </x:fonts>
  <x:fills count="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FCE4D6"/>
      </x:patternFill>
    </x:fill>
    <x:fill>
      <x:patternFill patternType="solid">
        <x:fgColor rgb="FFE2F0D9"/>
      </x:patternFill>
    </x:fill>
    <x:fill>
      <x:patternFill patternType="solid">
        <x:fgColor rgb="FFFFF2CC"/>
      </x:patternFill>
    </x:fill>
    <x:fill>
      <x:patternFill patternType="solid">
        <x:fgColor rgb="FFE7E6E6"/>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0" borderId="0"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20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200" fontId="1" fillId="0" borderId="2" xfId="0" applyNumberFormat="1" applyFont="1" applyFill="1" applyBorder="1"/>
    <x:xf numFmtId="20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200" fontId="1" fillId="0" borderId="5" xfId="0" applyNumberFormat="1" applyFont="1" applyFill="1" applyBorder="1"/>
    <x:xf numFmtId="20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200" fontId="1" fillId="0" borderId="8" xfId="0" applyNumberFormat="1" applyFont="1" applyFill="1" applyBorder="1"/>
    <x:xf numFmtId="200" fontId="1" fillId="0" borderId="9" xfId="0" applyNumberFormat="1" applyFont="1" applyFill="1" applyBorder="1"/>
    <x:xf numFmtId="0" fontId="1" fillId="0" borderId="3" xfId="0" applyNumberFormat="1" applyFont="1" applyFill="1" applyBorder="1"/>
    <x:xf numFmtId="0" fontId="1" fillId="0" borderId="6" xfId="0" applyNumberFormat="1" applyFont="1" applyFill="1" applyBorder="1"/>
    <x:xf numFmtId="0" fontId="1" fillId="0" borderId="9" xfId="0" applyNumberFormat="1" applyFont="1" applyFill="1" applyBorder="1"/>
    <x:xf numFmtId="0" fontId="1" fillId="4" borderId="3" xfId="0" applyNumberFormat="1" applyFont="1" applyFill="1" applyBorder="1"/>
    <x:xf numFmtId="0" fontId="1" fillId="5" borderId="6" xfId="0" applyNumberFormat="1" applyFont="1" applyFill="1" applyBorder="1"/>
    <x:xf numFmtId="0" fontId="1" fillId="6" borderId="6" xfId="0" applyNumberFormat="1" applyFont="1" applyFill="1" applyBorder="1"/>
    <x:xf numFmtId="0" fontId="1" fillId="5" borderId="9"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7" fillId="2" borderId="0" xfId="0" applyNumberFormat="1" applyFont="1" applyFill="1" applyBorder="1" applyAlignment="1">
      <x:alignment horizontal="center" vertical="top" wrapText="1"/>
    </x:xf>
    <x:xf numFmtId="0" fontId="7" fillId="2" borderId="0" xfId="0" applyNumberFormat="1" applyFont="1" applyFill="1" applyBorder="1" applyAlignment="1">
      <x:alignment horizontal="center" vertical="center"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c937b1fc7b4ec7" /><Relationship Type="http://schemas.openxmlformats.org/officeDocument/2006/relationships/theme" Target="/xl/theme/theme1.xml" Id="Rd4a16405492c45b4" /><Relationship Type="http://schemas.openxmlformats.org/officeDocument/2006/relationships/sharedStrings" Target="/xl/sharedStrings.xml" Id="R037b0517f76b43ef" /><Relationship Type="http://schemas.openxmlformats.org/officeDocument/2006/relationships/worksheet" Target="/xl/worksheets/sheet1.xml" Id="R57da3bf5987a4bb3" /><Relationship Type="http://schemas.openxmlformats.org/officeDocument/2006/relationships/worksheet" Target="/xl/worksheets/sheet2.xml" Id="R45d159739d074e69" /><Relationship Type="http://schemas.openxmlformats.org/officeDocument/2006/relationships/worksheet" Target="/xl/worksheets/sheet3.xml" Id="R3ed9a2f0249c4fe6" /><Relationship Type="http://schemas.openxmlformats.org/officeDocument/2006/relationships/worksheet" Target="/xl/worksheets/sheet4.xml" Id="R9469a2e4ba9f4cfc" /></Relationships>
</file>

<file path=xl/tables/table1.xml><?xml version="1.0" encoding="utf-8"?>
<x:table xmlns:x="http://schemas.openxmlformats.org/spreadsheetml/2006/main" id="1" name="DecisionDeltaAudit" displayName="DecisionDeltaAudit" ref="A1:M7" headerRowCount="1" totalsRowCount="0" totalsRowShown="0">
  <x:tableColumns count="13">
    <x:tableColumn id="1" name="question_id"/>
    <x:tableColumn id="2" name="question"/>
    <x:tableColumn id="3" name="evaluation_status"/>
    <x:tableColumn id="4" name="exclusion_reason"/>
    <x:tableColumn id="5" name="expected_decision"/>
    <x:tableColumn id="6" name="locked_baseline_e0_decision"/>
    <x:tableColumn id="7" name="current_control_e1_decision"/>
    <x:tableColumn id="8" name="candidate_v2_e2_decision"/>
    <x:tableColumn id="9" name="e1_result"/>
    <x:tableColumn id="10" name="e2_result"/>
    <x:tableColumn id="11" name="delta_effect"/>
    <x:tableColumn id="12" name="e1_reason"/>
    <x:tableColumn id="13" name="e2_reason"/>
  </x:tableColumns>
  <x:tableStyleInfo name="TableStyleMedium2" showFirstColumn="0" showLastColumn="0" showRowStripes="1" showColumnStripes="0"/>
</x:table>
</file>

<file path=xl/tables/table2.xml><?xml version="1.0" encoding="utf-8"?>
<x:table xmlns:x="http://schemas.openxmlformats.org/spreadsheetml/2006/main" id="2" name="PendingEvidenceAudit" displayName="PendingEvidenceAudit" ref="A1:M39" headerRowCount="1" totalsRowCount="0" totalsRowShown="0">
  <x:tableColumns count="13">
    <x:tableColumn id="1" name="review_key"/>
    <x:tableColumn id="2" name="question_id"/>
    <x:tableColumn id="3" name="decision_evaluation_scope"/>
    <x:tableColumn id="4" name="question"/>
    <x:tableColumn id="5" name="expected_answer_points"/>
    <x:tableColumn id="6" name="supporting_chunk_id"/>
    <x:tableColumn id="7" name="supporting_rank"/>
    <x:tableColumn id="8" name="supporting_chunk_text"/>
    <x:tableColumn id="9" name="citation_url"/>
    <x:tableColumn id="10" name="e2_reason"/>
    <x:tableColumn id="11" name="human_entailment_verdict"/>
    <x:tableColumn id="12" name="human_notes"/>
    <x:tableColumn id="13" name="human_review_status"/>
  </x:tableColumns>
  <x:tableStyleInfo name="TableStyleMedium2" showFirstColumn="0" showLastColumn="0" showRowStripes="1" showColumnStripes="0"/>
</x:table>
</file>

<file path=xl/tables/table3.xml><?xml version="1.0" encoding="utf-8"?>
<x:table xmlns:x="http://schemas.openxmlformats.org/spreadsheetml/2006/main" id="3" name="AllEvidenceAudit" displayName="AllEvidenceAudit" ref="A1:R74" headerRowCount="1" totalsRowCount="0" totalsRowShown="0">
  <x:tableColumns count="18">
    <x:tableColumn id="1" name="review_key"/>
    <x:tableColumn id="2" name="question_id"/>
    <x:tableColumn id="3" name="decision_evaluation_scope"/>
    <x:tableColumn id="4" name="question"/>
    <x:tableColumn id="5" name="expected_answer_points"/>
    <x:tableColumn id="6" name="selected_by_variants"/>
    <x:tableColumn id="7" name="control_e1_selected"/>
    <x:tableColumn id="8" name="candidate_e2_selected"/>
    <x:tableColumn id="9" name="supporting_chunk_id"/>
    <x:tableColumn id="10" name="supporting_rank"/>
    <x:tableColumn id="11" name="supporting_chunk_text"/>
    <x:tableColumn id="12" name="citation_url"/>
    <x:tableColumn id="13" name="e1_reason"/>
    <x:tableColumn id="14" name="e2_reason"/>
    <x:tableColumn id="15" name="verdict_source"/>
    <x:tableColumn id="16" name="human_entailment_verdict"/>
    <x:tableColumn id="17" name="human_notes"/>
    <x:tableColumn id="18" name="human_review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8922075fede46f7" /></Relationships>
</file>

<file path=xl/worksheets/_rels/sheet3.xml.rels>&#65279;<?xml version="1.0" encoding="utf-8"?><Relationships xmlns="http://schemas.openxmlformats.org/package/2006/relationships"><Relationship Type="http://schemas.openxmlformats.org/officeDocument/2006/relationships/table" Target="/xl/tables/table2.xml" Id="R26539171f4584af0" /></Relationships>
</file>

<file path=xl/worksheets/_rels/sheet4.xml.rels>&#65279;<?xml version="1.0" encoding="utf-8"?><Relationships xmlns="http://schemas.openxmlformats.org/package/2006/relationships"><Relationship Type="http://schemas.openxmlformats.org/officeDocument/2006/relationships/table" Target="/xl/tables/table3.xml" Id="Rad07ad74a40f44b2"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42" hidden="0" customWidth="1"/>
    <x:col min="3" max="3" width="16" hidden="0" customWidth="1"/>
    <x:col min="4" max="4" width="16" hidden="0" customWidth="1"/>
    <x:col min="5" max="5" width="16" hidden="0" customWidth="1"/>
    <x:col min="6" max="6" width="28" hidden="0" customWidth="1"/>
    <x:col min="7" max="7" width="18" hidden="0" customWidth="1"/>
    <x:col min="8" max="8" width="18" hidden="0" customWidth="1"/>
  </x:cols>
  <x:sheetData>
    <x:row r="1" ht="32" customHeight="1">
      <x:c r="A1" s="35" t="str">
        <x:v>Phase 8 M3 — Prompt experiment evidence review</x:v>
      </x:c>
      <x:c r="B1" s="35"/>
      <x:c r="C1" s="35"/>
      <x:c r="D1" s="35"/>
      <x:c r="E1" s="35"/>
      <x:c r="F1" s="35"/>
      <x:c r="G1" s="35"/>
      <x:c r="H1" s="35"/>
    </x:row>
    <x:row r="2">
      <x:c r="A2" s="1"/>
      <x:c r="B2" s="1"/>
      <x:c r="C2" s="1"/>
      <x:c r="D2" s="1"/>
      <x:c r="E2" s="1"/>
      <x:c r="F2" s="1"/>
      <x:c r="G2" s="1"/>
      <x:c r="H2" s="1"/>
    </x:row>
    <x:row r="3">
      <x:c r="A3" s="8" t="str">
        <x:v>M3 run</x:v>
      </x:c>
      <x:c r="B3" s="9" t="str">
        <x:v>mit60001_evidence_prompt_m3_33c974521c60e2dc</x:v>
      </x:c>
      <x:c r="C3" s="1"/>
      <x:c r="D3" s="1"/>
      <x:c r="E3" s="1"/>
      <x:c r="F3" s="1"/>
      <x:c r="G3" s="1"/>
      <x:c r="H3" s="1"/>
    </x:row>
    <x:row r="4">
      <x:c r="A4" s="8" t="str">
        <x:v>Frozen experiment</x:v>
      </x:c>
      <x:c r="B4" s="9" t="str">
        <x:v>mit60001_evidence_prompt_experiment_256f435e9d3e0bfd</x:v>
      </x:c>
      <x:c r="C4" s="1"/>
      <x:c r="D4" s="1"/>
      <x:c r="E4" s="1"/>
      <x:c r="F4" s="1"/>
      <x:c r="G4" s="1"/>
      <x:c r="H4" s="1"/>
    </x:row>
    <x:row r="5">
      <x:c r="A5" s="8" t="str">
        <x:v>Decision scope</x:v>
      </x:c>
      <x:c r="B5" s="9" t="str">
        <x:v>37 evaluated; q-017/q-023/q-041 remain excluded</x:v>
      </x:c>
      <x:c r="C5" s="1"/>
      <x:c r="D5" s="1"/>
      <x:c r="E5" s="1"/>
      <x:c r="F5" s="1"/>
      <x:c r="G5" s="1"/>
      <x:c r="H5" s="1"/>
    </x:row>
    <x:row r="6">
      <x:c r="A6" s="8" t="str">
        <x:v>Current status</x:v>
      </x:c>
      <x:c r="B6" s="9" t="str">
        <x:v>Human evidence review pending</x:v>
      </x:c>
      <x:c r="C6" s="1"/>
      <x:c r="D6" s="1"/>
      <x:c r="E6" s="1"/>
      <x:c r="F6" s="1"/>
      <x:c r="G6" s="1"/>
      <x:c r="H6" s="1"/>
    </x:row>
    <x:row r="7">
      <x:c r="A7" s="1"/>
      <x:c r="B7" s="1"/>
      <x:c r="C7" s="1"/>
      <x:c r="D7" s="1"/>
      <x:c r="E7" s="1"/>
      <x:c r="F7" s="1"/>
      <x:c r="G7" s="1"/>
      <x:c r="H7" s="1"/>
    </x:row>
    <x:row r="8">
      <x:c r="A8" s="11" t="str">
        <x:v>Run</x:v>
      </x:c>
      <x:c r="B8" s="11" t="str">
        <x:v>TP</x:v>
      </x:c>
      <x:c r="C8" s="11" t="str">
        <x:v>FP</x:v>
      </x:c>
      <x:c r="D8" s="11" t="str">
        <x:v>FN</x:v>
      </x:c>
      <x:c r="E8" s="11" t="str">
        <x:v>TN</x:v>
      </x:c>
      <x:c r="F8" s="11" t="str">
        <x:v>Accuracy</x:v>
      </x:c>
      <x:c r="G8" s="11" t="str">
        <x:v>Accept recall</x:v>
      </x:c>
      <x:c r="H8" s="11" t="str">
        <x:v>False accept rate</x:v>
      </x:c>
    </x:row>
    <x:row r="9">
      <x:c r="A9" s="13" t="str">
        <x:v>E0 locked baseline</x:v>
      </x:c>
      <x:c r="B9" s="14" t="n">
        <x:v>17</x:v>
      </x:c>
      <x:c r="C9" s="14" t="n">
        <x:v>9</x:v>
      </x:c>
      <x:c r="D9" s="14" t="n">
        <x:v>4</x:v>
      </x:c>
      <x:c r="E9" s="14" t="n">
        <x:v>7</x:v>
      </x:c>
      <x:c r="F9" s="15" t="n">
        <x:v>0.6486486486486487</x:v>
      </x:c>
      <x:c r="G9" s="15" t="n">
        <x:v>0.8095238095238095</x:v>
      </x:c>
      <x:c r="H9" s="16" t="n">
        <x:v>0.5625</x:v>
      </x:c>
    </x:row>
    <x:row r="10">
      <x:c r="A10" s="17" t="str">
        <x:v>E1 current control</x:v>
      </x:c>
      <x:c r="B10" s="18" t="n">
        <x:v>16</x:v>
      </x:c>
      <x:c r="C10" s="18" t="n">
        <x:v>9</x:v>
      </x:c>
      <x:c r="D10" s="18" t="n">
        <x:v>5</x:v>
      </x:c>
      <x:c r="E10" s="18" t="n">
        <x:v>7</x:v>
      </x:c>
      <x:c r="F10" s="19" t="n">
        <x:v>0.6216216216216216</x:v>
      </x:c>
      <x:c r="G10" s="19" t="n">
        <x:v>0.7619047619047619</x:v>
      </x:c>
      <x:c r="H10" s="20" t="n">
        <x:v>0.5625</x:v>
      </x:c>
    </x:row>
    <x:row r="11">
      <x:c r="A11" s="21" t="str">
        <x:v>E2 candidate V2</x:v>
      </x:c>
      <x:c r="B11" s="22" t="n">
        <x:v>19</x:v>
      </x:c>
      <x:c r="C11" s="22" t="n">
        <x:v>9</x:v>
      </x:c>
      <x:c r="D11" s="22" t="n">
        <x:v>2</x:v>
      </x:c>
      <x:c r="E11" s="22" t="n">
        <x:v>7</x:v>
      </x:c>
      <x:c r="F11" s="23" t="n">
        <x:v>0.7027027027027027</x:v>
      </x:c>
      <x:c r="G11" s="23" t="n">
        <x:v>0.9047619047619048</x:v>
      </x:c>
      <x:c r="H11" s="24" t="n">
        <x:v>0.5625</x:v>
      </x:c>
    </x:row>
    <x:row r="12">
      <x:c r="A12" s="1"/>
      <x:c r="B12" s="1"/>
      <x:c r="C12" s="1"/>
      <x:c r="D12" s="1"/>
      <x:c r="E12" s="1"/>
      <x:c r="F12" s="1"/>
      <x:c r="G12" s="1"/>
      <x:c r="H12" s="1"/>
    </x:row>
    <x:row r="13">
      <x:c r="A13" s="11" t="str">
        <x:v>Candidate gate</x:v>
      </x:c>
      <x:c r="B13" s="11" t="str">
        <x:v>E2 value</x:v>
      </x:c>
      <x:c r="C13" s="11" t="str">
        <x:v>Threshold</x:v>
      </x:c>
      <x:c r="D13" s="11" t="str">
        <x:v>Status</x:v>
      </x:c>
      <x:c r="E13" s="1"/>
      <x:c r="F13" s="11" t="str">
        <x:v>Human review progress</x:v>
      </x:c>
      <x:c r="G13" s="11"/>
      <x:c r="H13" s="11"/>
    </x:row>
    <x:row r="14">
      <x:c r="A14" s="13" t="str">
        <x:v>False accept rate</x:v>
      </x:c>
      <x:c r="B14" s="15" t="n">
        <x:v>0.5625</x:v>
      </x:c>
      <x:c r="C14" s="15" t="n">
        <x:v>0.25</x:v>
      </x:c>
      <x:c r="D14" s="28" t="str">
        <x:f>IF(B14&lt;=C14,"PASS","FAIL")</x:f>
        <x:v>FAIL</x:v>
      </x:c>
      <x:c r="E14" s="1"/>
      <x:c r="F14" s="7" t="str">
        <x:v>Pending pairs supplied</x:v>
      </x:c>
      <x:c r="G14" s="1" t="n">
        <x:f>COUNTA('Pending Evidence'!$A$2:$A$39)</x:f>
        <x:v>38</x:v>
      </x:c>
      <x:c r="H14" s="1"/>
    </x:row>
    <x:row r="15">
      <x:c r="A15" s="17" t="str">
        <x:v>Accept recall</x:v>
      </x:c>
      <x:c r="B15" s="19" t="n">
        <x:v>0.9047619047619048</x:v>
      </x:c>
      <x:c r="C15" s="19" t="n">
        <x:v>0.75</x:v>
      </x:c>
      <x:c r="D15" s="29" t="str">
        <x:f>IF(B15&gt;=C15,"PASS","FAIL")</x:f>
        <x:v>PASS</x:v>
      </x:c>
      <x:c r="E15" s="1"/>
      <x:c r="F15" s="7" t="str">
        <x:v>Reviewed</x:v>
      </x:c>
      <x:c r="G15" s="1" t="n">
        <x:f>COUNTIF('Pending Evidence'!$M$2:$M$39,"reviewed")</x:f>
        <x:v>38</x:v>
      </x:c>
      <x:c r="H15" s="1"/>
    </x:row>
    <x:row r="16">
      <x:c r="A16" s="17" t="str">
        <x:v>Evidence precision (37-scope)</x:v>
      </x:c>
      <x:c r="B16" s="19" t="n">
        <x:f>IF(COUNTIFS('Pending Evidence'!$C$2:$C$39,"evaluated_37",'Pending Evidence'!$M$2:$M$39,"reviewed")=36,(26+COUNTIFS('Pending Evidence'!$C$2:$C$39,"evaluated_37",'Pending Evidence'!$K$2:$K$39,"supports"))/67,"")</x:f>
        <x:v>0.6865671641791045</x:v>
      </x:c>
      <x:c r="C16" s="19" t="n">
        <x:v>0.85</x:v>
      </x:c>
      <x:c r="D16" s="30" t="str">
        <x:f>IF(B16="","PENDING",IF(B16&gt;=C16,"PASS","FAIL"))</x:f>
        <x:v>FAIL</x:v>
      </x:c>
      <x:c r="E16" s="1"/>
      <x:c r="F16" s="7" t="str">
        <x:v>Remaining</x:v>
      </x:c>
      <x:c r="G16" s="1" t="n">
        <x:f>G14-G15</x:f>
        <x:v>0</x:v>
      </x:c>
      <x:c r="H16" s="1"/>
    </x:row>
    <x:row r="17">
      <x:c r="A17" s="17" t="str">
        <x:v>Schema valid rate</x:v>
      </x:c>
      <x:c r="B17" s="19" t="n">
        <x:v>1</x:v>
      </x:c>
      <x:c r="C17" s="19" t="n">
        <x:v>1</x:v>
      </x:c>
      <x:c r="D17" s="29" t="str">
        <x:f>IF(B17&gt;=C17,"PASS","FAIL")</x:f>
        <x:v>PASS</x:v>
      </x:c>
      <x:c r="E17" s="1"/>
      <x:c r="F17" s="7" t="str">
        <x:v>Canonical verdicts reused</x:v>
      </x:c>
      <x:c r="G17" s="1" t="n">
        <x:v>35</x:v>
      </x:c>
      <x:c r="H17" s="1"/>
    </x:row>
    <x:row r="18">
      <x:c r="A18" s="21" t="str">
        <x:v>Outside-Top-3 ID count</x:v>
      </x:c>
      <x:c r="B18" s="22" t="n">
        <x:v>0</x:v>
      </x:c>
      <x:c r="C18" s="22" t="n">
        <x:v>0</x:v>
      </x:c>
      <x:c r="D18" s="31" t="str">
        <x:f>IF(B18&lt;=C18,"PASS","FAIL")</x:f>
        <x:v>PASS</x:v>
      </x:c>
      <x:c r="E18" s="1"/>
      <x:c r="F18" s="1"/>
      <x:c r="G18" s="1"/>
      <x:c r="H18" s="1"/>
    </x:row>
    <x:row r="19">
      <x:c r="A19" s="1"/>
      <x:c r="B19" s="1"/>
      <x:c r="C19" s="1"/>
      <x:c r="D19" s="1"/>
      <x:c r="E19" s="1"/>
      <x:c r="F19" s="1"/>
      <x:c r="G19" s="1"/>
      <x:c r="H19" s="1"/>
    </x:row>
    <x:row r="20">
      <x:c r="A20" s="1"/>
      <x:c r="B20" s="1"/>
      <x:c r="C20" s="1"/>
      <x:c r="D20" s="1"/>
      <x:c r="E20" s="1"/>
      <x:c r="F20" s="1"/>
      <x:c r="G20" s="1"/>
      <x:c r="H20" s="1"/>
    </x:row>
    <x:row r="21">
      <x:c r="A21" s="10" t="str">
        <x:v>Reviewer instructions</x:v>
      </x:c>
      <x:c r="B21" s="10"/>
      <x:c r="C21" s="10"/>
      <x:c r="D21" s="10"/>
      <x:c r="E21" s="10"/>
      <x:c r="F21" s="10"/>
      <x:c r="G21" s="10"/>
      <x:c r="H21" s="10"/>
    </x:row>
    <x:row r="22">
      <x:c r="A22" s="34" t="str">
        <x:v>Chỉ sửa sheet Pending Evidence. Với mỗi dòng, so sánh Question + Expected Answer Points với Supporting Chunk Text. Chọn supports khi chunk trực tiếp hỗ trợ answer points cần thiết; chọn does_not_support khi chỉ cùng chủ đề, thiếu phần thiết yếu hoặc cần kiến thức ngoài; chọn needs_discussion khi chưa thể kết luận. Điền Human Notes khi verdict không hiển nhiên. Cột Human Review Status tự chuyển sang reviewed khi đã chọn verdict. Không sửa Decision Deltas, All Evidence, prompt, Ground Truth hoặc exclusion set.</x:v>
      </x:c>
      <x:c r="B22" s="34"/>
      <x:c r="C22" s="34"/>
      <x:c r="D22" s="34"/>
      <x:c r="E22" s="34"/>
      <x:c r="F22" s="34"/>
      <x:c r="G22" s="34"/>
      <x:c r="H22" s="34"/>
    </x:row>
    <x:row r="23">
      <x:c r="A23" s="34"/>
      <x:c r="B23" s="34"/>
      <x:c r="C23" s="34"/>
      <x:c r="D23" s="34"/>
      <x:c r="E23" s="34"/>
      <x:c r="F23" s="34"/>
      <x:c r="G23" s="34"/>
      <x:c r="H23" s="34"/>
    </x:row>
    <x:row r="24">
      <x:c r="A24" s="34"/>
      <x:c r="B24" s="34"/>
      <x:c r="C24" s="34"/>
      <x:c r="D24" s="34"/>
      <x:c r="E24" s="34"/>
      <x:c r="F24" s="34"/>
      <x:c r="G24" s="34"/>
      <x:c r="H24" s="34"/>
    </x:row>
    <x:row r="25">
      <x:c r="A25" s="34"/>
      <x:c r="B25" s="34"/>
      <x:c r="C25" s="34"/>
      <x:c r="D25" s="34"/>
      <x:c r="E25" s="34"/>
      <x:c r="F25" s="34"/>
      <x:c r="G25" s="34"/>
      <x:c r="H25" s="34"/>
    </x:row>
    <x:row r="26">
      <x:c r="A26" s="34"/>
      <x:c r="B26" s="34"/>
      <x:c r="C26" s="34"/>
      <x:c r="D26" s="34"/>
      <x:c r="E26" s="34"/>
      <x:c r="F26" s="34"/>
      <x:c r="G26" s="34"/>
      <x:c r="H26" s="34"/>
    </x:row>
    <x:row r="27">
      <x:c r="A27" s="34"/>
      <x:c r="B27" s="34"/>
      <x:c r="C27" s="34"/>
      <x:c r="D27" s="34"/>
      <x:c r="E27" s="34"/>
      <x:c r="F27" s="34"/>
      <x:c r="G27" s="34"/>
      <x:c r="H27" s="34"/>
    </x:row>
  </x:sheetData>
  <x:mergeCells>
    <x:mergeCell ref="A1:H1"/>
    <x:mergeCell ref="F13:H13"/>
    <x:mergeCell ref="A21:H21"/>
    <x:mergeCell ref="A22:H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58" hidden="0" customWidth="1"/>
    <x:col min="13" max="13" width="58" hidden="0" customWidth="1"/>
  </x:cols>
  <x:sheetData>
    <x:row r="1" ht="34" customHeight="1">
      <x:c r="A1" s="42" t="str">
        <x:v>question_id</x:v>
      </x:c>
      <x:c r="B1" s="42" t="str">
        <x:v>question</x:v>
      </x:c>
      <x:c r="C1" s="42" t="str">
        <x:v>evaluation_status</x:v>
      </x:c>
      <x:c r="D1" s="42" t="str">
        <x:v>exclusion_reason</x:v>
      </x:c>
      <x:c r="E1" s="42" t="str">
        <x:v>expected_decision</x:v>
      </x:c>
      <x:c r="F1" s="42" t="str">
        <x:v>locked_baseline_e0_decision</x:v>
      </x:c>
      <x:c r="G1" s="42" t="str">
        <x:v>current_control_e1_decision</x:v>
      </x:c>
      <x:c r="H1" s="42" t="str">
        <x:v>candidate_v2_e2_decision</x:v>
      </x:c>
      <x:c r="I1" s="42" t="str">
        <x:v>e1_result</x:v>
      </x:c>
      <x:c r="J1" s="42" t="str">
        <x:v>e2_result</x:v>
      </x:c>
      <x:c r="K1" s="42" t="str">
        <x:v>delta_effect</x:v>
      </x:c>
      <x:c r="L1" s="42" t="str">
        <x:v>e1_reason</x:v>
      </x:c>
      <x:c r="M1" s="42" t="str">
        <x:v>e2_reason</x:v>
      </x:c>
    </x:row>
    <x:row r="2" ht="72" customHeight="1">
      <x:c r="A2" s="38" t="str">
        <x:v>mit60001-q-001</x:v>
      </x:c>
      <x:c r="B2" s="38" t="str">
        <x:v>According to the course introduction, what learning goals are introduced for students?</x:v>
      </x:c>
      <x:c r="C2" s="38" t="str">
        <x:v>evaluated</x:v>
      </x:c>
      <x:c r="D2" s="38" t="str"/>
      <x:c r="E2" s="38" t="str">
        <x:v>reject</x:v>
      </x:c>
      <x:c r="F2" s="38" t="str">
        <x:v>reject</x:v>
      </x:c>
      <x:c r="G2" s="38" t="str">
        <x:v>reject</x:v>
      </x:c>
      <x:c r="H2" s="38" t="str">
        <x:v>accept</x:v>
      </x:c>
      <x:c r="I2" s="38" t="str">
        <x:v>TN</x:v>
      </x:c>
      <x:c r="J2" s="38" t="str">
        <x:v>FP</x:v>
      </x:c>
      <x:c r="K2" s="38" t="str">
        <x:v>worsened</x:v>
      </x:c>
      <x:c r="L2" s="38" t="str">
        <x:v>The provided excerpts do not directly address the learning goals introduced for students.</x:v>
      </x:c>
      <x:c r="M2" s="38" t="str">
        <x:v>The whole question is covered.</x:v>
      </x:c>
    </x:row>
    <x:row r="3" ht="72" customHeight="1">
      <x:c r="A3" s="38" t="str">
        <x:v>mit60001-q-009</x:v>
      </x:c>
      <x:c r="B3" s="38" t="str">
        <x:v>According to the course, how are local variables created and used during a function call?</x:v>
      </x:c>
      <x:c r="C3" s="38" t="str">
        <x:v>evaluated</x:v>
      </x:c>
      <x:c r="D3" s="38" t="str"/>
      <x:c r="E3" s="38" t="str">
        <x:v>accept</x:v>
      </x:c>
      <x:c r="F3" s="38" t="str">
        <x:v>reject</x:v>
      </x:c>
      <x:c r="G3" s="38" t="str">
        <x:v>reject</x:v>
      </x:c>
      <x:c r="H3" s="38" t="str">
        <x:v>accept</x:v>
      </x:c>
      <x:c r="I3" s="38" t="str">
        <x:v>FN</x:v>
      </x:c>
      <x:c r="J3" s="38" t="str">
        <x:v>TP</x:v>
      </x:c>
      <x:c r="K3" s="38" t="str">
        <x:v>improved</x:v>
      </x:c>
      <x:c r="L3" s="38" t="str">
        <x:v>None of the candidate excerpts directly answer the question about how local variables are created and used during a function call.</x:v>
      </x:c>
      <x:c r="M3" s="38" t="str">
        <x:v>The evidence supports the creation and usage of local variables during a function call, including the concept of scopes, global variables, and passing values back and forth between scopes.</x:v>
      </x:c>
    </x:row>
    <x:row r="4" ht="72" customHeight="1">
      <x:c r="A4" s="38" t="str">
        <x:v>mit60001-q-014</x:v>
      </x:c>
      <x:c r="B4" s="38" t="str">
        <x:v>What is the difference between a Python list and a dictionary?</x:v>
      </x:c>
      <x:c r="C4" s="38" t="str">
        <x:v>evaluated</x:v>
      </x:c>
      <x:c r="D4" s="38" t="str"/>
      <x:c r="E4" s="38" t="str">
        <x:v>reject</x:v>
      </x:c>
      <x:c r="F4" s="38" t="str">
        <x:v>accept</x:v>
      </x:c>
      <x:c r="G4" s="38" t="str">
        <x:v>accept</x:v>
      </x:c>
      <x:c r="H4" s="38" t="str">
        <x:v>reject</x:v>
      </x:c>
      <x:c r="I4" s="38" t="str">
        <x:v>FP</x:v>
      </x:c>
      <x:c r="J4" s="38" t="str">
        <x:v>TN</x:v>
      </x:c>
      <x:c r="K4" s="38" t="str">
        <x:v>improved</x:v>
      </x:c>
      <x:c r="L4" s="38" t="str">
        <x:v>The candidate excerpt directly supports the answer that lists are mutable objects.</x:v>
      </x:c>
      <x:c r="M4" s="38" t="str">
        <x:v>The evidence does not cover the entire question. The difference between a Python list and a dictionary is not explicitly stated.</x:v>
      </x:c>
    </x:row>
    <x:row r="5" ht="72" customHeight="1">
      <x:c r="A5" s="38" t="str">
        <x:v>mit60001-q-019</x:v>
      </x:c>
      <x:c r="B5" s="38" t="str">
        <x:v>According to the lecture, what is the goal of bisection search?</x:v>
      </x:c>
      <x:c r="C5" s="38" t="str">
        <x:v>evaluated</x:v>
      </x:c>
      <x:c r="D5" s="38" t="str"/>
      <x:c r="E5" s="38" t="str">
        <x:v>accept</x:v>
      </x:c>
      <x:c r="F5" s="38" t="str">
        <x:v>accept</x:v>
      </x:c>
      <x:c r="G5" s="38" t="str">
        <x:v>reject</x:v>
      </x:c>
      <x:c r="H5" s="38" t="str">
        <x:v>accept</x:v>
      </x:c>
      <x:c r="I5" s="38" t="str">
        <x:v>FN</x:v>
      </x:c>
      <x:c r="J5" s="38" t="str">
        <x:v>TP</x:v>
      </x:c>
      <x:c r="K5" s="38" t="str">
        <x:v>improved</x:v>
      </x:c>
      <x:c r="L5" s="38" t="str">
        <x:v>None of the candidate excerpts directly support the answer to the question 'According to the lecture, what is the goal of bisection search?'</x:v>
      </x:c>
      <x:c r="M5" s="38" t="str">
        <x:v>The whole question is covered.</x:v>
      </x:c>
    </x:row>
    <x:row r="6" ht="72" customHeight="1">
      <x:c r="A6" s="38" t="str">
        <x:v>mit60001-q-021</x:v>
      </x:c>
      <x:c r="B6" s="38" t="str">
        <x:v>How does the course explain the role of Boolean comparisons in branching?</x:v>
      </x:c>
      <x:c r="C6" s="38" t="str">
        <x:v>evaluated</x:v>
      </x:c>
      <x:c r="D6" s="38" t="str"/>
      <x:c r="E6" s="38" t="str">
        <x:v>accept</x:v>
      </x:c>
      <x:c r="F6" s="38" t="str">
        <x:v>reject</x:v>
      </x:c>
      <x:c r="G6" s="38" t="str">
        <x:v>reject</x:v>
      </x:c>
      <x:c r="H6" s="38" t="str">
        <x:v>accept</x:v>
      </x:c>
      <x:c r="I6" s="38" t="str">
        <x:v>FN</x:v>
      </x:c>
      <x:c r="J6" s="38" t="str">
        <x:v>TP</x:v>
      </x:c>
      <x:c r="K6" s="38" t="str">
        <x:v>improved</x:v>
      </x:c>
      <x:c r="L6" s="38" t="str">
        <x:v>None of the candidate excerpts directly explain the role of Boolean comparisons in branching.</x:v>
      </x:c>
      <x:c r="M6" s="38" t="str">
        <x:v>The evidence supports the requested answer and covers the entire question.</x:v>
      </x:c>
    </x:row>
    <x:row r="7" ht="72" customHeight="1">
      <x:c r="A7" s="38" t="str">
        <x:v>mit60001-q-023</x:v>
      </x:c>
      <x:c r="B7" s="38" t="str">
        <x:v>How does the course explain abstraction when functions are used in a program?</x:v>
      </x:c>
      <x:c r="C7" s="38" t="str">
        <x:v>excluded</x:v>
      </x:c>
      <x:c r="D7" s="38" t="str">
        <x:v>benchmark_gt_issue</x:v>
      </x:c>
      <x:c r="E7" s="38" t="str"/>
      <x:c r="F7" s="38" t="str">
        <x:v>reject</x:v>
      </x:c>
      <x:c r="G7" s="38" t="str">
        <x:v>reject</x:v>
      </x:c>
      <x:c r="H7" s="38" t="str">
        <x:v>accept</x:v>
      </x:c>
      <x:c r="I7" s="38" t="str">
        <x:v>excluded</x:v>
      </x:c>
      <x:c r="J7" s="38" t="str">
        <x:v>excluded</x:v>
      </x:c>
      <x:c r="K7" s="38" t="str">
        <x:v>existing_exclusion_audit_only</x:v>
      </x:c>
      <x:c r="L7" s="38" t="str">
        <x:v>None of the candidate excerpts directly explain abstraction when functions are used in a program.</x:v>
      </x:c>
      <x:c r="M7" s="38" t="str">
        <x:v>The evidence supports the requested mechanism or behavior. The selected excerpts directly explain abstraction when functions are used in a program.</x:v>
      </x:c>
    </x:row>
  </x:sheetData>
  <x:pageMargins left="0.7" right="0.7" top="0.75" bottom="0.75" header="0.3" footer="0.3"/>
  <x:tableParts count="1">
    <x:tablePart xmlns:r="http://schemas.openxmlformats.org/officeDocument/2006/relationships" r:id="R88922075fede46f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50" hidden="0" customWidth="1"/>
    <x:col min="2" max="2" width="20" hidden="0" customWidth="1"/>
    <x:col min="3" max="3" width="20" hidden="0" customWidth="1"/>
    <x:col min="4" max="4" width="48" hidden="0" customWidth="1"/>
    <x:col min="5" max="5" width="62" hidden="0" customWidth="1"/>
    <x:col min="6" max="6" width="50" hidden="0" customWidth="1"/>
    <x:col min="7" max="7" width="10" hidden="0" customWidth="1"/>
    <x:col min="8" max="8" width="88" hidden="0" customWidth="1"/>
    <x:col min="9" max="9" width="38" hidden="0" customWidth="1"/>
    <x:col min="10" max="10" width="55" hidden="0" customWidth="1"/>
    <x:col min="11" max="11" width="24" hidden="0" customWidth="1"/>
    <x:col min="12" max="12" width="55" hidden="0" customWidth="1"/>
    <x:col min="13" max="13" width="18" hidden="0" customWidth="1"/>
  </x:cols>
  <x:sheetData>
    <x:row r="1" ht="34" customHeight="1">
      <x:c r="A1" s="42" t="str">
        <x:v>review_key</x:v>
      </x:c>
      <x:c r="B1" s="42" t="str">
        <x:v>question_id</x:v>
      </x:c>
      <x:c r="C1" s="42" t="str">
        <x:v>decision_evaluation_scope</x:v>
      </x:c>
      <x:c r="D1" s="42" t="str">
        <x:v>question</x:v>
      </x:c>
      <x:c r="E1" s="42" t="str">
        <x:v>expected_answer_points</x:v>
      </x:c>
      <x:c r="F1" s="42" t="str">
        <x:v>supporting_chunk_id</x:v>
      </x:c>
      <x:c r="G1" s="42" t="str">
        <x:v>supporting_rank</x:v>
      </x:c>
      <x:c r="H1" s="42" t="str">
        <x:v>supporting_chunk_text</x:v>
      </x:c>
      <x:c r="I1" s="42" t="str">
        <x:v>citation_url</x:v>
      </x:c>
      <x:c r="J1" s="42" t="str">
        <x:v>e2_reason</x:v>
      </x:c>
      <x:c r="K1" s="42" t="str">
        <x:v>human_entailment_verdict</x:v>
      </x:c>
      <x:c r="L1" s="42" t="str">
        <x:v>human_notes</x:v>
      </x:c>
      <x:c r="M1" s="42" t="str">
        <x:v>human_review_status</x:v>
      </x:c>
    </x:row>
    <x:row r="2" ht="100" customHeight="1">
      <x:c r="A2" s="38" t="str">
        <x:v>mit60001-q-001|nykOeWgQcHM:semantic_cosine_wp240_v1:3</x:v>
      </x:c>
      <x:c r="B2" s="38" t="str">
        <x:v>mit60001-q-001</x:v>
      </x:c>
      <x:c r="C2" s="38" t="str">
        <x:v>evaluated_37</x:v>
      </x:c>
      <x:c r="D2" s="38" t="str">
        <x:v>According to the course introduction, what learning goals are introduced for students?</x:v>
      </x:c>
      <x:c r="E2"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2" s="38" t="str">
        <x:v>nykOeWgQcHM:semantic_cosine_wp240_v1:3</x:v>
      </x:c>
      <x:c r="G2" s="38" t="str">
        <x:v>2</x:v>
      </x:c>
      <x:c r="H2" s="38" t="str">
        <x:v>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x:v>
      </x:c>
      <x:c r="I2" s="38" t="str">
        <x:v>https://www.youtube.com/watch?v=nykOeWgQcHM&amp;t=127s</x:v>
      </x:c>
      <x:c r="J2" s="38" t="str">
        <x:v>The whole question is covered.</x:v>
      </x:c>
      <x:c r="K2" s="43" t="str">
        <x:v>supports</x:v>
      </x:c>
      <x:c r="L2" s="43" t="str">
        <x:v>Directly supports reading problem sets early so course terminology becomes familiar.</x:v>
      </x:c>
      <x:c r="M2" s="44" t="str">
        <x:f>IF(K2="","pending","reviewed")</x:f>
        <x:v>reviewed</x:v>
      </x:c>
    </x:row>
    <x:row r="3" ht="100" customHeight="1">
      <x:c r="A3" s="38" t="str">
        <x:v>mit60001-q-001|nykOeWgQcHM:semantic_cosine_wp240_v1:6</x:v>
      </x:c>
      <x:c r="B3" s="38" t="str">
        <x:v>mit60001-q-001</x:v>
      </x:c>
      <x:c r="C3" s="38" t="str">
        <x:v>evaluated_37</x:v>
      </x:c>
      <x:c r="D3" s="38" t="str">
        <x:v>According to the course introduction, what learning goals are introduced for students?</x:v>
      </x:c>
      <x:c r="E3"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3" s="38" t="str">
        <x:v>nykOeWgQcHM:semantic_cosine_wp240_v1:6</x:v>
      </x:c>
      <x:c r="G3" s="38" t="str">
        <x:v>1</x:v>
      </x:c>
      <x:c r="H3" s="38"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c r="I3" s="38" t="str">
        <x:v>https://www.youtube.com/watch?v=nykOeWgQcHM&amp;t=261s</x:v>
      </x:c>
      <x:c r="J3" s="38" t="str">
        <x:v>The whole question is covered.</x:v>
      </x:c>
      <x:c r="K3" s="43" t="str">
        <x:v>supports</x:v>
      </x:c>
      <x:c r="L3" s="43" t="str">
        <x:v>Directly supports sustained hands-on programming practice and learning how to program.</x:v>
      </x:c>
      <x:c r="M3" s="44" t="str">
        <x:f>IF(K3="","pending","reviewed")</x:f>
        <x:v>reviewed</x:v>
      </x:c>
    </x:row>
    <x:row r="4" ht="100" customHeight="1">
      <x:c r="A4" s="38" t="str">
        <x:v>mit60001-q-001|nykOeWgQcHM:semantic_cosine_wp240_v1:7</x:v>
      </x:c>
      <x:c r="B4" s="38" t="str">
        <x:v>mit60001-q-001</x:v>
      </x:c>
      <x:c r="C4" s="38" t="str">
        <x:v>evaluated_37</x:v>
      </x:c>
      <x:c r="D4" s="38" t="str">
        <x:v>According to the course introduction, what learning goals are introduced for students?</x:v>
      </x:c>
      <x:c r="E4"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4" s="38" t="str">
        <x:v>nykOeWgQcHM:semantic_cosine_wp240_v1:7</x:v>
      </x:c>
      <x:c r="G4" s="38" t="str">
        <x:v>3</x:v>
      </x:c>
      <x:c r="H4" s="38" t="str">
        <x:v>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c r="I4" s="38" t="str">
        <x:v>https://www.youtube.com/watch?v=nykOeWgQcHM&amp;t=306s</x:v>
      </x:c>
      <x:c r="J4" s="38" t="str">
        <x:v>The whole question is covered.</x:v>
      </x:c>
      <x:c r="K4" s="43" t="str">
        <x:v>supports</x:v>
      </x:c>
      <x:c r="L4" s="43" t="str">
        <x:v>Supports the programming-skills/concepts part of the learning goals via control flow and readable, modular code.</x:v>
      </x:c>
      <x:c r="M4" s="44" t="str">
        <x:f>IF(K4="","pending","reviewed")</x:f>
        <x:v>reviewed</x:v>
      </x:c>
    </x:row>
    <x:row r="5" ht="100" customHeight="1">
      <x:c r="A5" s="38" t="str">
        <x:v>mit60001-q-002|nykOeWgQcHM:semantic_cosine_wp240_v1:5</x:v>
      </x:c>
      <x:c r="B5" s="38" t="str">
        <x:v>mit60001-q-002</x:v>
      </x:c>
      <x:c r="C5" s="38" t="str">
        <x:v>evaluated_37</x:v>
      </x:c>
      <x:c r="D5" s="38" t="str">
        <x:v>What does the course say students should do to practice programming effectively?</x:v>
      </x:c>
      <x:c r="E5" s="38" t="str">
        <x:v>- Read problem sets early to become familiar with terminology.
- Practice programming directly rather than only watching someone else code.
- Download the code before lecture.</x:v>
      </x:c>
      <x:c r="F5" s="38" t="str">
        <x:v>nykOeWgQcHM:semantic_cosine_wp240_v1:5</x:v>
      </x:c>
      <x:c r="G5" s="38" t="str">
        <x:v>3</x:v>
      </x:c>
      <x:c r="H5" s="38" t="str">
        <x:v>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x:v>
      </x:c>
      <x:c r="I5" s="38" t="str">
        <x:v>https://www.youtube.com/watch?v=nykOeWgQcHM&amp;t=215s</x:v>
      </x:c>
      <x:c r="J5" s="38" t="str">
        <x:v>The evidence supports the requested answer and covers the entire question.</x:v>
      </x:c>
      <x:c r="K5" s="43" t="str">
        <x:v>does_not_support</x:v>
      </x:c>
      <x:c r="L5" s="43" t="str">
        <x:v>Describes course goals and problem solving through psets, but not the specific practice advice in the expected answer: read psets early, program directly, and download code.</x:v>
      </x:c>
      <x:c r="M5" s="44" t="str">
        <x:f>IF(K5="","pending","reviewed")</x:f>
        <x:v>reviewed</x:v>
      </x:c>
    </x:row>
    <x:row r="6" ht="100" customHeight="1">
      <x:c r="A6" s="38" t="str">
        <x:v>mit60001-q-002|nykOeWgQcHM:semantic_cosine_wp240_v1:6</x:v>
      </x:c>
      <x:c r="B6" s="38" t="str">
        <x:v>mit60001-q-002</x:v>
      </x:c>
      <x:c r="C6" s="38" t="str">
        <x:v>evaluated_37</x:v>
      </x:c>
      <x:c r="D6" s="38" t="str">
        <x:v>What does the course say students should do to practice programming effectively?</x:v>
      </x:c>
      <x:c r="E6" s="38" t="str">
        <x:v>- Read problem sets early to become familiar with terminology.
- Practice programming directly rather than only watching someone else code.
- Download the code before lecture.</x:v>
      </x:c>
      <x:c r="F6" s="38" t="str">
        <x:v>nykOeWgQcHM:semantic_cosine_wp240_v1:6</x:v>
      </x:c>
      <x:c r="G6" s="38" t="str">
        <x:v>2</x:v>
      </x:c>
      <x:c r="H6" s="38"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c r="I6" s="38" t="str">
        <x:v>https://www.youtube.com/watch?v=nykOeWgQcHM&amp;t=261s</x:v>
      </x:c>
      <x:c r="J6" s="38" t="str">
        <x:v>The evidence supports the requested answer and covers the entire question.</x:v>
      </x:c>
      <x:c r="K6" s="43" t="str">
        <x:v>supports</x:v>
      </x:c>
      <x:c r="L6" s="43" t="str">
        <x:v>Directly says effective practice requires typing and coding a lot.</x:v>
      </x:c>
      <x:c r="M6" s="44" t="str">
        <x:f>IF(K6="","pending","reviewed")</x:f>
        <x:v>reviewed</x:v>
      </x:c>
    </x:row>
    <x:row r="7" ht="100" customHeight="1">
      <x:c r="A7" s="38" t="str">
        <x:v>mit60001-q-004|0jljZRnHwOI:semantic_cosine_wp240_v1:31</x:v>
      </x:c>
      <x:c r="B7" s="38" t="str">
        <x:v>mit60001-q-004</x:v>
      </x:c>
      <x:c r="C7" s="38" t="str">
        <x:v>evaluated_37</x:v>
      </x:c>
      <x:c r="D7" s="38" t="str">
        <x:v>What is the difference between assignment (=) and equality (==) in Python?</x:v>
      </x:c>
      <x:c r="E7" s="38" t="str">
        <x:v>- The single equals sign assigns a value to a variable.
- The double equals sign tests whether two values are equal and produces a Boolean result.</x:v>
      </x:c>
      <x:c r="F7" s="38" t="str">
        <x:v>0jljZRnHwOI:semantic_cosine_wp240_v1:31</x:v>
      </x:c>
      <x:c r="G7" s="38" t="str">
        <x:v>2</x:v>
      </x:c>
      <x:c r="H7" s="38" t="str">
        <x:v>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x:v>
      </x:c>
      <x:c r="I7" s="38" t="str">
        <x:v>https://www.youtube.com/watch?v=0jljZRnHwOI&amp;t=1455s</x:v>
      </x:c>
      <x:c r="J7" s="38" t="str">
        <x:v>The evidence supports both sides of the question and the requested contrast.</x:v>
      </x:c>
      <x:c r="K7" s="43" t="str">
        <x:v>does_not_support</x:v>
      </x:c>
      <x:c r="L7" s="43" t="str">
        <x:v>Says an if statement checks whether variables are equal, but the transcript does not identify the == operator or contrast it with = assignment.</x:v>
      </x:c>
      <x:c r="M7" s="44" t="str">
        <x:f>IF(K7="","pending","reviewed")</x:f>
        <x:v>reviewed</x:v>
      </x:c>
    </x:row>
    <x:row r="8" ht="100" customHeight="1">
      <x:c r="A8" s="38" t="str">
        <x:v>mit60001-q-004|0jljZRnHwOI:semantic_cosine_wp240_v1:32</x:v>
      </x:c>
      <x:c r="B8" s="38" t="str">
        <x:v>mit60001-q-004</x:v>
      </x:c>
      <x:c r="C8" s="38" t="str">
        <x:v>evaluated_37</x:v>
      </x:c>
      <x:c r="D8" s="38" t="str">
        <x:v>What is the difference between assignment (=) and equality (==) in Python?</x:v>
      </x:c>
      <x:c r="E8" s="38" t="str">
        <x:v>- The single equals sign assigns a value to a variable.
- The double equals sign tests whether two values are equal and produces a Boolean result.</x:v>
      </x:c>
      <x:c r="F8" s="38" t="str">
        <x:v>0jljZRnHwOI:semantic_cosine_wp240_v1:32</x:v>
      </x:c>
      <x:c r="G8" s="38" t="str">
        <x:v>3</x:v>
      </x:c>
      <x:c r="H8" s="38" t="str">
        <x:v>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c r="I8" s="38" t="str">
        <x:v>https://www.youtube.com/watch?v=0jljZRnHwOI&amp;t=1513s</x:v>
      </x:c>
      <x:c r="J8" s="38" t="str">
        <x:v>The evidence supports both sides of the question and the requested contrast.</x:v>
      </x:c>
      <x:c r="K8" s="43" t="str">
        <x:v>supports</x:v>
      </x:c>
      <x:c r="L8" s="43" t="str">
        <x:v>Explicitly contrasts double-equals for equality checking with single-equals assignment.</x:v>
      </x:c>
      <x:c r="M8" s="44" t="str">
        <x:f>IF(K8="","pending","reviewed")</x:f>
        <x:v>reviewed</x:v>
      </x:c>
    </x:row>
    <x:row r="9" ht="100" customHeight="1">
      <x:c r="A9" s="38" t="str">
        <x:v>mit60001-q-006|o9nW0uBqvEo:semantic_cosine_wp240_v1:13</x:v>
      </x:c>
      <x:c r="B9" s="38" t="str">
        <x:v>mit60001-q-006</x:v>
      </x:c>
      <x:c r="C9" s="38" t="str">
        <x:v>evaluated_37</x:v>
      </x:c>
      <x:c r="D9" s="38" t="str">
        <x:v>According to the lecture, how is the efficiency of an algorithm explained?</x:v>
      </x:c>
      <x:c r="E9" s="38" t="str">
        <x:v>- Estimate efficiency by running test cases, timing execution, and observing the result.
- Alternatively count fundamental operations as a function of input size.</x:v>
      </x:c>
      <x:c r="F9" s="38" t="str">
        <x:v>o9nW0uBqvEo:semantic_cosine_wp240_v1:13</x:v>
      </x:c>
      <x:c r="G9" s="38" t="str">
        <x:v>2</x:v>
      </x:c>
      <x:c r="H9" s="38" t="str">
        <x:v>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x:v>
      </x:c>
      <x:c r="I9" s="38" t="str">
        <x:v>https://www.youtube.com/watch?v=o9nW0uBqvEo&amp;t=509s</x:v>
      </x:c>
      <x:c r="J9" s="38" t="str">
        <x:v>The evidence supports the explanation of efficiency in an algorithm, specifically that it can be measured by counting operations and comparing different implementations.</x:v>
      </x:c>
      <x:c r="K9" s="43" t="str">
        <x:v>supports</x:v>
      </x:c>
      <x:c r="L9" s="43" t="str">
        <x:v>Directly supports the timing approach: run test cases and time execution to measure efficiency.</x:v>
      </x:c>
      <x:c r="M9" s="44" t="str">
        <x:f>IF(K9="","pending","reviewed")</x:f>
        <x:v>reviewed</x:v>
      </x:c>
    </x:row>
    <x:row r="10" ht="100" customHeight="1">
      <x:c r="A10" s="38" t="str">
        <x:v>mit60001-q-007|WPSeyjX1-4s:semantic_cosine_wp240_v1:17</x:v>
      </x:c>
      <x:c r="B10" s="38" t="str">
        <x:v>mit60001-q-007</x:v>
      </x:c>
      <x:c r="C10" s="38" t="str">
        <x:v>evaluated_37</x:v>
      </x:c>
      <x:c r="D10" s="38" t="str">
        <x:v>What value is bound to a name after an assignment statement is evaluated?</x:v>
      </x:c>
      <x:c r="E10" s="38" t="str">
        <x:v>- Assignment binds the value on the right-hand side to the variable name on the left-hand side.
- The binding allows the program to access that value later.</x:v>
      </x:c>
      <x:c r="F10" s="38" t="str">
        <x:v>WPSeyjX1-4s:semantic_cosine_wp240_v1:17</x:v>
      </x:c>
      <x:c r="G10" s="38" t="str">
        <x:v>2</x:v>
      </x:c>
      <x:c r="H10" s="38" t="str">
        <x:v>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x:v>
      </x:c>
      <x:c r="I10" s="38" t="str">
        <x:v>https://www.youtube.com/watch?v=WPSeyjX1-4s&amp;t=639s</x:v>
      </x:c>
      <x:c r="J10" s="38" t="str">
        <x:v>The evidence supports the requested answer and covers the entire question.</x:v>
      </x:c>
      <x:c r="K10" s="43" t="str">
        <x:v>does_not_support</x:v>
      </x:c>
      <x:c r="L10" s="43" t="str">
        <x:v>Describes binding a function name to function code, not assignment binding a right-hand-side value to a variable name.</x:v>
      </x:c>
      <x:c r="M10" s="44" t="str">
        <x:f>IF(K10="","pending","reviewed")</x:f>
        <x:v>reviewed</x:v>
      </x:c>
    </x:row>
    <x:row r="11" ht="100" customHeight="1">
      <x:c r="A11" s="38" t="str">
        <x:v>mit60001-q-007|nykOeWgQcHM:semantic_cosine_wp240_v1:54</x:v>
      </x:c>
      <x:c r="B11" s="38" t="str">
        <x:v>mit60001-q-007</x:v>
      </x:c>
      <x:c r="C11" s="38" t="str">
        <x:v>evaluated_37</x:v>
      </x:c>
      <x:c r="D11" s="38" t="str">
        <x:v>What value is bound to a name after an assignment statement is evaluated?</x:v>
      </x:c>
      <x:c r="E11" s="38" t="str">
        <x:v>- Assignment binds the value on the right-hand side to the variable name on the left-hand side.
- The binding allows the program to access that value later.</x:v>
      </x:c>
      <x:c r="F11" s="38" t="str">
        <x:v>nykOeWgQcHM:semantic_cosine_wp240_v1:54</x:v>
      </x:c>
      <x:c r="G11" s="38" t="str">
        <x:v>3</x:v>
      </x:c>
      <x:c r="H11" s="38" t="str">
        <x:v>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x:v>
      </x:c>
      <x:c r="I11" s="38" t="str">
        <x:v>https://www.youtube.com/watch?v=nykOeWgQcHM&amp;t=2403s</x:v>
      </x:c>
      <x:c r="J11" s="38" t="str">
        <x:v>The evidence supports the requested answer and covers the entire question.</x:v>
      </x:c>
      <x:c r="K11" s="43" t="str">
        <x:v>supports</x:v>
      </x:c>
      <x:c r="L11" s="43" t="str">
        <x:v>Directly shows values being created, bound to variable names, and later retrieved from memory.</x:v>
      </x:c>
      <x:c r="M11" s="44" t="str">
        <x:f>IF(K11="","pending","reviewed")</x:f>
        <x:v>reviewed</x:v>
      </x:c>
    </x:row>
    <x:row r="12" ht="100" customHeight="1">
      <x:c r="A12" s="38" t="str">
        <x:v>mit60001-q-009|MjbuarJ7SE0:semantic_cosine_wp240_v1:22</x:v>
      </x:c>
      <x:c r="B12" s="38" t="str">
        <x:v>mit60001-q-009</x:v>
      </x:c>
      <x:c r="C12" s="38" t="str">
        <x:v>evaluated_37</x:v>
      </x:c>
      <x:c r="D12" s="38" t="str">
        <x:v>According to the course, how are local variables created and used during a function call?</x:v>
      </x:c>
      <x:c r="E12" s="38" t="str">
        <x:v>- The same variable name can exist in the global scope and in a different scope.
- Within a scope, Python uses that scope's variable names, so names in different scopes do not interfere with one another.</x:v>
      </x:c>
      <x:c r="F12" s="38" t="str">
        <x:v>MjbuarJ7SE0:semantic_cosine_wp240_v1:22</x:v>
      </x:c>
      <x:c r="G12" s="38" t="str">
        <x:v>3</x:v>
      </x:c>
      <x:c r="H12" s="38" t="str">
        <x:v>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c r="I12" s="38" t="str">
        <x:v>https://www.youtube.com/watch?v=MjbuarJ7SE0&amp;t=976s</x:v>
      </x:c>
      <x:c r="J12" s="38" t="str">
        <x:v>The evidence supports the creation and usage of local variables during a function call, including the concept of scopes, global variables, and passing values back and forth between scopes.</x:v>
      </x:c>
      <x:c r="K12" s="43" t="str">
        <x:v>supports</x:v>
      </x:c>
      <x:c r="L12" s="43" t="str">
        <x:v>Directly describes a new set of variables existing inside the function environment/scope and values being passed in and returned.</x:v>
      </x:c>
      <x:c r="M12" s="44" t="str">
        <x:f>IF(K12="","pending","reviewed")</x:f>
        <x:v>reviewed</x:v>
      </x:c>
    </x:row>
    <x:row r="13" ht="100" customHeight="1">
      <x:c r="A13" s="38" t="str">
        <x:v>mit60001-q-009|MjbuarJ7SE0:semantic_cosine_wp240_v1:41</x:v>
      </x:c>
      <x:c r="B13" s="38" t="str">
        <x:v>mit60001-q-009</x:v>
      </x:c>
      <x:c r="C13" s="38" t="str">
        <x:v>evaluated_37</x:v>
      </x:c>
      <x:c r="D13" s="38" t="str">
        <x:v>According to the course, how are local variables created and used during a function call?</x:v>
      </x:c>
      <x:c r="E13" s="38" t="str">
        <x:v>- The same variable name can exist in the global scope and in a different scope.
- Within a scope, Python uses that scope's variable names, so names in different scopes do not interfere with one another.</x:v>
      </x:c>
      <x:c r="F13" s="38" t="str">
        <x:v>MjbuarJ7SE0:semantic_cosine_wp240_v1:41</x:v>
      </x:c>
      <x:c r="G13" s="38" t="str">
        <x:v>1</x:v>
      </x:c>
      <x:c r="H13" s="38" t="str">
        <x:v>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x:v>
      </x:c>
      <x:c r="I13" s="38" t="str">
        <x:v>https://www.youtube.com/watch?v=MjbuarJ7SE0&amp;t=1837s</x:v>
      </x:c>
      <x:c r="J13" s="38" t="str">
        <x:v>The evidence supports the creation and usage of local variables during a function call, including the concept of scopes, global variables, and passing values back and forth between scopes.</x:v>
      </x:c>
      <x:c r="K13" s="43" t="str">
        <x:v>supports</x:v>
      </x:c>
      <x:c r="L13" s="43" t="str">
        <x:v>Directly explains that the same variable name can exist in global and inner scopes without conflict because scopes are separate.</x:v>
      </x:c>
      <x:c r="M13" s="44" t="str">
        <x:f>IF(K13="","pending","reviewed")</x:f>
        <x:v>reviewed</x:v>
      </x:c>
    </x:row>
    <x:row r="14" ht="100" customHeight="1">
      <x:c r="A14" s="38" t="str">
        <x:v>mit60001-q-009|MjbuarJ7SE0:semantic_cosine_wp240_v1:45</x:v>
      </x:c>
      <x:c r="B14" s="38" t="str">
        <x:v>mit60001-q-009</x:v>
      </x:c>
      <x:c r="C14" s="38" t="str">
        <x:v>evaluated_37</x:v>
      </x:c>
      <x:c r="D14" s="38" t="str">
        <x:v>According to the course, how are local variables created and used during a function call?</x:v>
      </x:c>
      <x:c r="E14" s="38" t="str">
        <x:v>- The same variable name can exist in the global scope and in a different scope.
- Within a scope, Python uses that scope's variable names, so names in different scopes do not interfere with one another.</x:v>
      </x:c>
      <x:c r="F14" s="38" t="str">
        <x:v>MjbuarJ7SE0:semantic_cosine_wp240_v1:45</x:v>
      </x:c>
      <x:c r="G14" s="38" t="str">
        <x:v>2</x:v>
      </x:c>
      <x:c r="H14" s="38" t="str">
        <x:v>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x:v>
      </x:c>
      <x:c r="I14" s="38" t="str">
        <x:v>https://www.youtube.com/watch?v=MjbuarJ7SE0&amp;t=2004s</x:v>
      </x:c>
      <x:c r="J14" s="38" t="str">
        <x:v>The evidence supports the creation and usage of local variables during a function call, including the concept of scopes, global variables, and passing values back and forth between scopes.</x:v>
      </x:c>
      <x:c r="K14" s="43" t="str">
        <x:v>does_not_support</x:v>
      </x:c>
      <x:c r="L14" s="43" t="str">
        <x:v>Discusses global variables as a loophole around scope; it does not directly explain creation/use of local variables or same-name isolation during a normal function call.</x:v>
      </x:c>
      <x:c r="M14" s="44" t="str">
        <x:f>IF(K14="","pending","reviewed")</x:f>
        <x:v>reviewed</x:v>
      </x:c>
    </x:row>
    <x:row r="15" ht="100" customHeight="1">
      <x:c r="A15" s="38" t="str">
        <x:v>mit60001-q-010|RvRKT-jXvko:semantic_cosine_wp240_v1:2</x:v>
      </x:c>
      <x:c r="B15" s="38" t="str">
        <x:v>mit60001-q-010</x:v>
      </x:c>
      <x:c r="C15" s="38" t="str">
        <x:v>evaluated_37</x:v>
      </x:c>
      <x:c r="D15" s="38" t="str">
        <x:v>What is the difference between mutable and immutable objects?</x:v>
      </x:c>
      <x:c r="E15" s="38" t="str">
        <x:v>- Tuples are immutable, whereas lists are mutable.
- Lists and tuples can contain elements of any type, but lists use square brackets and tuples use parentheses.</x:v>
      </x:c>
      <x:c r="F15" s="38" t="str">
        <x:v>RvRKT-jXvko:semantic_cosine_wp240_v1:2</x:v>
      </x:c>
      <x:c r="G15" s="38" t="str">
        <x:v>1</x:v>
      </x:c>
      <x:c r="H15" s="38" t="str">
        <x:v>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x:v>
      </x:c>
      <x:c r="I15" s="38" t="str">
        <x:v>https://www.youtube.com/watch?v=RvRKT-jXvko&amp;t=98s</x:v>
      </x:c>
      <x:c r="J15" s="38" t="str">
        <x:v>The evidence supports both sides of the question and the requested contrast.</x:v>
      </x:c>
      <x:c r="K15" s="43" t="str">
        <x:v>does_not_support</x:v>
      </x:c>
      <x:c r="L15" s="43" t="str">
        <x:v>Covers only the tuple side (arbitrary element types and immutability); it does not provide the list side or the tuple/list syntax contrast required by this difference question.</x:v>
      </x:c>
      <x:c r="M15" s="44" t="str">
        <x:f>IF(K15="","pending","reviewed")</x:f>
        <x:v>reviewed</x:v>
      </x:c>
    </x:row>
    <x:row r="16" ht="100" customHeight="1">
      <x:c r="A16" s="38" t="str">
        <x:v>mit60001-q-010|RvRKT-jXvko:semantic_cosine_wp240_v1:48</x:v>
      </x:c>
      <x:c r="B16" s="38" t="str">
        <x:v>mit60001-q-010</x:v>
      </x:c>
      <x:c r="C16" s="38" t="str">
        <x:v>evaluated_37</x:v>
      </x:c>
      <x:c r="D16" s="38" t="str">
        <x:v>What is the difference between mutable and immutable objects?</x:v>
      </x:c>
      <x:c r="E16" s="38" t="str">
        <x:v>- Tuples are immutable, whereas lists are mutable.
- Lists and tuples can contain elements of any type, but lists use square brackets and tuples use parentheses.</x:v>
      </x:c>
      <x:c r="F16" s="38" t="str">
        <x:v>RvRKT-jXvko:semantic_cosine_wp240_v1:48</x:v>
      </x:c>
      <x:c r="G16" s="38" t="str">
        <x:v>2</x:v>
      </x:c>
      <x:c r="H16" s="38" t="str">
        <x:v>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x:v>
      </x:c>
      <x:c r="I16" s="38" t="str">
        <x:v>https://www.youtube.com/watch?v=RvRKT-jXvko&amp;t=2033s</x:v>
      </x:c>
      <x:c r="J16" s="38" t="str">
        <x:v>The evidence supports both sides of the question and the requested contrast.</x:v>
      </x:c>
      <x:c r="K16" s="43" t="str">
        <x:v>does_not_support</x:v>
      </x:c>
      <x:c r="L16" s="43" t="str">
        <x:v>Only gives a vague contrast between non-mutable objects and lists; it does not establish the required tuple-vs-list mutability and syntax differences.</x:v>
      </x:c>
      <x:c r="M16" s="44" t="str">
        <x:f>IF(K16="","pending","reviewed")</x:f>
        <x:v>reviewed</x:v>
      </x:c>
    </x:row>
    <x:row r="17" ht="100" customHeight="1">
      <x:c r="A17" s="38" t="str">
        <x:v>mit60001-q-015|nykOeWgQcHM:semantic_cosine_wp240_v1:44</x:v>
      </x:c>
      <x:c r="B17" s="38" t="str">
        <x:v>mit60001-q-015</x:v>
      </x:c>
      <x:c r="C17" s="38" t="str">
        <x:v>evaluated_37</x:v>
      </x:c>
      <x:c r="D17" s="38" t="str">
        <x:v>According to the course, how is using the shell different from using the editor?</x:v>
      </x:c>
      <x:c r="E17" s="38" t="str">
        <x:v>- The shell lets a user type and execute simple commands directly, typically to test something quickly.
- The editor is used to write multiple lines and more complicated programs, which can then be run.</x:v>
      </x:c>
      <x:c r="F17" s="38" t="str">
        <x:v>nykOeWgQcHM:semantic_cosine_wp240_v1:44</x:v>
      </x:c>
      <x:c r="G17" s="38" t="str">
        <x:v>3</x:v>
      </x:c>
      <x:c r="H17" s="38" t="str">
        <x:v>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x:v>
      </x:c>
      <x:c r="I17" s="38" t="str">
        <x:v>https://www.youtube.com/watch?v=nykOeWgQcHM&amp;t=1951s</x:v>
      </x:c>
      <x:c r="J17" s="38" t="str">
        <x:v>The evidence supports both sides of the comparison and the requested contrast.</x:v>
      </x:c>
      <x:c r="K17" s="43" t="str">
        <x:v>supports</x:v>
      </x:c>
      <x:c r="L17" s="43" t="str">
        <x:v>Directly contrasts shell evaluation with editor execution: an expression shows a value in the shell, while the same expression in an editor-run program is not printed automatically.</x:v>
      </x:c>
      <x:c r="M17" s="44" t="str">
        <x:f>IF(K17="","pending","reviewed")</x:f>
        <x:v>reviewed</x:v>
      </x:c>
    </x:row>
    <x:row r="18" ht="100" customHeight="1">
      <x:c r="A18" s="38" t="str">
        <x:v>mit60001-q-018|9H6muyZjms0:semantic_cosine_wp240_v1:14</x:v>
      </x:c>
      <x:c r="B18" s="38" t="str">
        <x:v>mit60001-q-018</x:v>
      </x:c>
      <x:c r="C18" s="38" t="str">
        <x:v>evaluated_37</x:v>
      </x:c>
      <x:c r="D18" s="38" t="str">
        <x:v>What does black-box testing examine according to the course?</x:v>
      </x:c>
      <x:c r="E18" s="38" t="str">
        <x:v>- Black-box testing derives test cases from the function specification or docstring without examining the implementation code.</x:v>
      </x:c>
      <x:c r="F18" s="38" t="str">
        <x:v>9H6muyZjms0:semantic_cosine_wp240_v1:14</x:v>
      </x:c>
      <x:c r="G18" s="38" t="str">
        <x:v>3</x:v>
      </x:c>
      <x:c r="H18" s="38" t="str">
        <x:v>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c r="I18" s="38" t="str">
        <x:v>https://www.youtube.com/watch?v=9H6muyZjms0&amp;t=556s</x:v>
      </x:c>
      <x:c r="J18" s="38" t="str">
        <x:v>The evidence supports the requested answer and covers the entire question.</x:v>
      </x:c>
      <x:c r="K18" s="43" t="str">
        <x:v>supports</x:v>
      </x:c>
      <x:c r="L18" s="43" t="str">
        <x:v>Directly states that black-box tests are derived from the specification without relying on the implementation.</x:v>
      </x:c>
      <x:c r="M18" s="44" t="str">
        <x:f>IF(K18="","pending","reviewed")</x:f>
        <x:v>reviewed</x:v>
      </x:c>
    </x:row>
    <x:row r="19" ht="100" customHeight="1">
      <x:c r="A19" s="38" t="str">
        <x:v>mit60001-q-019|7lQXYl_L28w:semantic_cosine_wp240_v1:13</x:v>
      </x:c>
      <x:c r="B19" s="38" t="str">
        <x:v>mit60001-q-019</x:v>
      </x:c>
      <x:c r="C19" s="38" t="str">
        <x:v>evaluated_37</x:v>
      </x:c>
      <x:c r="D19" s="38" t="str">
        <x:v>According to the lecture, what is the goal of bisection search?</x:v>
      </x:c>
      <x:c r="E19" s="38" t="str">
        <x:v>- Bisection search is used as a search algorithm for finding an approximation within an implicit numeric collection or range.</x:v>
      </x:c>
      <x:c r="F19" s="38" t="str">
        <x:v>7lQXYl_L28w:semantic_cosine_wp240_v1:13</x:v>
      </x:c>
      <x:c r="G19" s="38" t="str">
        <x:v>3</x:v>
      </x:c>
      <x:c r="H19" s="38"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c r="I19" s="38" t="str">
        <x:v>https://www.youtube.com/watch?v=7lQXYl_L28w&amp;t=478s</x:v>
      </x:c>
      <x:c r="J19" s="38" t="str">
        <x:v>The whole question is covered.</x:v>
      </x:c>
      <x:c r="K19" s="43" t="str">
        <x:v>does_not_support</x:v>
      </x:c>
      <x:c r="L19" s="43" t="str">
        <x:v>Describes bisection/binary search as searching for a number or list element, but does not support the expected goal of finding an approximation in an implicit numeric range.</x:v>
      </x:c>
      <x:c r="M19" s="44" t="str">
        <x:f>IF(K19="","pending","reviewed")</x:f>
        <x:v>reviewed</x:v>
      </x:c>
    </x:row>
    <x:row r="20" ht="100" customHeight="1">
      <x:c r="A20" s="38" t="str">
        <x:v>mit60001-q-019|SE4P7IVCunE:semantic_cosine_wp240_v1:53</x:v>
      </x:c>
      <x:c r="B20" s="38" t="str">
        <x:v>mit60001-q-019</x:v>
      </x:c>
      <x:c r="C20" s="38" t="str">
        <x:v>evaluated_37</x:v>
      </x:c>
      <x:c r="D20" s="38" t="str">
        <x:v>According to the lecture, what is the goal of bisection search?</x:v>
      </x:c>
      <x:c r="E20" s="38" t="str">
        <x:v>- Bisection search is used as a search algorithm for finding an approximation within an implicit numeric collection or range.</x:v>
      </x:c>
      <x:c r="F20" s="38" t="str">
        <x:v>SE4P7IVCunE:semantic_cosine_wp240_v1:53</x:v>
      </x:c>
      <x:c r="G20" s="38" t="str">
        <x:v>2</x:v>
      </x:c>
      <x:c r="H20" s="38" t="str">
        <x:v>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x:v>
      </x:c>
      <x:c r="I20" s="38" t="str">
        <x:v>https://www.youtube.com/watch?v=SE4P7IVCunE&amp;t=2389s</x:v>
      </x:c>
      <x:c r="J20" s="38" t="str">
        <x:v>The whole question is covered.</x:v>
      </x:c>
      <x:c r="K20" s="43" t="str">
        <x:v>does_not_support</x:v>
      </x:c>
      <x:c r="L20" s="43" t="str">
        <x:v>Describes halving a search space and interval, but does not state the requested goal of finding an approximation in an implicit numeric range.</x:v>
      </x:c>
      <x:c r="M20" s="44" t="str">
        <x:f>IF(K20="","pending","reviewed")</x:f>
        <x:v>reviewed</x:v>
      </x:c>
    </x:row>
    <x:row r="21" ht="100" customHeight="1">
      <x:c r="A21" s="38" t="str">
        <x:v>mit60001-q-020|SE4P7IVCunE:semantic_cosine_wp240_v1:4</x:v>
      </x:c>
      <x:c r="B21" s="38" t="str">
        <x:v>mit60001-q-020</x:v>
      </x:c>
      <x:c r="C21" s="38" t="str">
        <x:v>evaluated_37</x:v>
      </x:c>
      <x:c r="D21" s="38" t="str">
        <x:v>How does the lecture use len, indexing, and slicing to inspect or extract parts of a string?</x:v>
      </x:c>
      <x:c r="E21" s="38" t="str">
        <x:v>- len returns the number of characters in a string.
- Indexing retrieves the character at a specified position in the string.
- Slicing extracts a substring using start and stop indices and an optional step.</x:v>
      </x:c>
      <x:c r="F21" s="38" t="str">
        <x:v>SE4P7IVCunE:semantic_cosine_wp240_v1:4</x:v>
      </x:c>
      <x:c r="G21" s="38" t="str">
        <x:v>1</x:v>
      </x:c>
      <x:c r="H21" s="38" t="str">
        <x:v>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c r="I21" s="38" t="str">
        <x:v>https://www.youtube.com/watch?v=SE4P7IVCunE&amp;t=188s</x:v>
      </x:c>
      <x:c r="J21" s="38" t="str">
        <x:v>The evidence supports the requested mechanism or behavior</x:v>
      </x:c>
      <x:c r="K21" s="43" t="str">
        <x:v>supports</x:v>
      </x:c>
      <x:c r="L21" s="43" t="str">
        <x:v>Directly supports len and indexing: len gives string length and indexing retrieves the character at a specified position.</x:v>
      </x:c>
      <x:c r="M21" s="44" t="str">
        <x:f>IF(K21="","pending","reviewed")</x:f>
        <x:v>reviewed</x:v>
      </x:c>
    </x:row>
    <x:row r="22" ht="100" customHeight="1">
      <x:c r="A22" s="38" t="str">
        <x:v>mit60001-q-021|0jljZRnHwOI:semantic_cosine_wp240_v1:20</x:v>
      </x:c>
      <x:c r="B22" s="38" t="str">
        <x:v>mit60001-q-021</x:v>
      </x:c>
      <x:c r="C22" s="38" t="str">
        <x:v>evaluated_37</x:v>
      </x:c>
      <x:c r="D22" s="38" t="str">
        <x:v>How does the course explain the role of Boolean comparisons in branching?</x:v>
      </x:c>
      <x:c r="E22" s="38" t="str">
        <x:v>- Boolean comparisons provide tests whose results are True or False.
- Branching uses those test results to choose which path of the program should execute.</x:v>
      </x:c>
      <x:c r="F22" s="38" t="str">
        <x:v>0jljZRnHwOI:semantic_cosine_wp240_v1:20</x:v>
      </x:c>
      <x:c r="G22" s="38" t="str">
        <x:v>1</x:v>
      </x:c>
      <x:c r="H22" s="38" t="str">
        <x:v>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x:v>
      </x:c>
      <x:c r="I22" s="38" t="str">
        <x:v>https://www.youtube.com/watch?v=0jljZRnHwOI&amp;t=977s</x:v>
      </x:c>
      <x:c r="J22" s="38" t="str">
        <x:v>The evidence supports the requested answer and covers the entire question.</x:v>
      </x:c>
      <x:c r="K22" s="43" t="str">
        <x:v>supports</x:v>
      </x:c>
      <x:c r="L22" s="43" t="str">
        <x:v>Directly links comparison tests to branching and shows a comparison producing False, supporting the Boolean-test role.</x:v>
      </x:c>
      <x:c r="M22" s="44" t="str">
        <x:f>IF(K22="","pending","reviewed")</x:f>
        <x:v>reviewed</x:v>
      </x:c>
    </x:row>
    <x:row r="23" ht="100" customHeight="1">
      <x:c r="A23" s="38" t="str">
        <x:v>mit60001-q-021|FlGjISF3l78:semantic_cosine_wp240_v1:64</x:v>
      </x:c>
      <x:c r="B23" s="38" t="str">
        <x:v>mit60001-q-021</x:v>
      </x:c>
      <x:c r="C23" s="38" t="str">
        <x:v>evaluated_37</x:v>
      </x:c>
      <x:c r="D23" s="38" t="str">
        <x:v>How does the course explain the role of Boolean comparisons in branching?</x:v>
      </x:c>
      <x:c r="E23" s="38" t="str">
        <x:v>- Boolean comparisons provide tests whose results are True or False.
- Branching uses those test results to choose which path of the program should execute.</x:v>
      </x:c>
      <x:c r="F23" s="38" t="str">
        <x:v>FlGjISF3l78:semantic_cosine_wp240_v1:64</x:v>
      </x:c>
      <x:c r="G23" s="38" t="str">
        <x:v>2</x:v>
      </x:c>
      <x:c r="H23" s="38" t="str">
        <x:v>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x:v>
      </x:c>
      <x:c r="I23" s="38" t="str">
        <x:v>https://www.youtube.com/watch?v=FlGjISF3l78&amp;t=2723s</x:v>
      </x:c>
      <x:c r="J23" s="38" t="str">
        <x:v>The evidence supports the requested answer and covers the entire question.</x:v>
      </x:c>
      <x:c r="K23" s="43" t="str">
        <x:v>supports</x:v>
      </x:c>
      <x:c r="L23" s="43" t="str">
        <x:v>Directly supports the Boolean-result part: comparisons produce Boolean values that are True or False. It does not by itself explain branch-path selection.</x:v>
      </x:c>
      <x:c r="M23" s="44" t="str">
        <x:f>IF(K23="","pending","reviewed")</x:f>
        <x:v>reviewed</x:v>
      </x:c>
    </x:row>
    <x:row r="24" ht="100" customHeight="1">
      <x:c r="A24" s="38" t="str">
        <x:v>mit60001-q-021|SE4P7IVCunE:semantic_cosine_wp240_v1:28</x:v>
      </x:c>
      <x:c r="B24" s="38" t="str">
        <x:v>mit60001-q-021</x:v>
      </x:c>
      <x:c r="C24" s="38" t="str">
        <x:v>evaluated_37</x:v>
      </x:c>
      <x:c r="D24" s="38" t="str">
        <x:v>How does the course explain the role of Boolean comparisons in branching?</x:v>
      </x:c>
      <x:c r="E24" s="38" t="str">
        <x:v>- Boolean comparisons provide tests whose results are True or False.
- Branching uses those test results to choose which path of the program should execute.</x:v>
      </x:c>
      <x:c r="F24" s="38" t="str">
        <x:v>SE4P7IVCunE:semantic_cosine_wp240_v1:28</x:v>
      </x:c>
      <x:c r="G24" s="38" t="str">
        <x:v>3</x:v>
      </x:c>
      <x:c r="H24" s="38" t="str">
        <x:v>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x:v>
      </x:c>
      <x:c r="I24" s="38" t="str">
        <x:v>https://www.youtube.com/watch?v=SE4P7IVCunE&amp;t=1298s</x:v>
      </x:c>
      <x:c r="J24" s="38" t="str">
        <x:v>The evidence supports the requested answer and covers the entire question.</x:v>
      </x:c>
      <x:c r="K24" s="43" t="str">
        <x:v>does_not_support</x:v>
      </x:c>
      <x:c r="L24" s="43" t="str">
        <x:v>Mentions Booleans, conditionals, and branching as language features, but does not explain how Boolean comparison results select a program path.</x:v>
      </x:c>
      <x:c r="M24" s="44" t="str">
        <x:f>IF(K24="","pending","reviewed")</x:f>
        <x:v>reviewed</x:v>
      </x:c>
    </x:row>
    <x:row r="25" ht="100" customHeight="1">
      <x:c r="A25" s="38" t="str">
        <x:v>mit60001-q-023|MjbuarJ7SE0:semantic_cosine_wp240_v1:54</x:v>
      </x:c>
      <x:c r="B25" s="38" t="str">
        <x:v>mit60001-q-023</x:v>
      </x:c>
      <x:c r="C25" s="38" t="str">
        <x:v>excluded_existing</x:v>
      </x:c>
      <x:c r="D25" s="38" t="str">
        <x:v>How does the course explain abstraction when functions are used in a program?</x:v>
      </x:c>
      <x:c r="E25" s="38" t="str">
        <x:v>- Abstraction captures a computation inside a procedure and exposes a contract.
- The caller does not need to know the procedure's internal details as long as it delivers the promised result.
- Functions also support decomposition by organizing code into coherent structural units.</x:v>
      </x:c>
      <x:c r="F25" s="38" t="str">
        <x:v>MjbuarJ7SE0:semantic_cosine_wp240_v1:54</x:v>
      </x:c>
      <x:c r="G25" s="38" t="str">
        <x:v>2</x:v>
      </x:c>
      <x:c r="H25" s="38"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c r="I25" s="38" t="str">
        <x:v>https://www.youtube.com/watch?v=MjbuarJ7SE0&amp;t=2418s</x:v>
      </x:c>
      <x:c r="J25" s="38" t="str">
        <x:v>The evidence supports the requested mechanism or behavior. The selected excerpts directly explain abstraction when functions are used in a program.</x:v>
      </x:c>
      <x:c r="K25" s="43" t="str">
        <x:v>supports</x:v>
      </x:c>
      <x:c r="L25" s="43" t="str">
        <x:v>Supports the reuse aspect of function abstraction/decomposition: define a function once, debug it once, and reuse it later. It does not by itself explain the abstraction contract.</x:v>
      </x:c>
      <x:c r="M25" s="44" t="str">
        <x:f>IF(K25="","pending","reviewed")</x:f>
        <x:v>reviewed</x:v>
      </x:c>
    </x:row>
    <x:row r="26" ht="100" customHeight="1">
      <x:c r="A26" s="38" t="str">
        <x:v>mit60001-q-023|MjbuarJ7SE0:semantic_cosine_wp240_v1:6</x:v>
      </x:c>
      <x:c r="B26" s="38" t="str">
        <x:v>mit60001-q-023</x:v>
      </x:c>
      <x:c r="C26" s="38" t="str">
        <x:v>excluded_existing</x:v>
      </x:c>
      <x:c r="D26" s="38" t="str">
        <x:v>How does the course explain abstraction when functions are used in a program?</x:v>
      </x:c>
      <x:c r="E26" s="38" t="str">
        <x:v>- Abstraction captures a computation inside a procedure and exposes a contract.
- The caller does not need to know the procedure's internal details as long as it delivers the promised result.
- Functions also support decomposition by organizing code into coherent structural units.</x:v>
      </x:c>
      <x:c r="F26" s="38" t="str">
        <x:v>MjbuarJ7SE0:semantic_cosine_wp240_v1:6</x:v>
      </x:c>
      <x:c r="G26" s="38" t="str">
        <x:v>3</x:v>
      </x:c>
      <x:c r="H26" s="38" t="str">
        <x:v>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c r="I26" s="38" t="str">
        <x:v>https://www.youtube.com/watch?v=MjbuarJ7SE0&amp;t=247s</x:v>
      </x:c>
      <x:c r="J26" s="38" t="str">
        <x:v>The evidence supports the requested mechanism or behavior. The selected excerpts directly explain abstraction when functions are used in a program.</x:v>
      </x:c>
      <x:c r="K26" s="43" t="str">
        <x:v>supports</x:v>
      </x:c>
      <x:c r="L26" s="43" t="str">
        <x:v>Directly states that functions are mechanisms for decomposition and abstraction, supporting the high-level connection though not the detailed abstraction contract.</x:v>
      </x:c>
      <x:c r="M26" s="44" t="str">
        <x:f>IF(K26="","pending","reviewed")</x:f>
        <x:v>reviewed</x:v>
      </x:c>
    </x:row>
    <x:row r="27" ht="100" customHeight="1">
      <x:c r="A27" s="38" t="str">
        <x:v>mit60001-q-026|7lQXYl_L28w:semantic_cosine_wp240_v1:16</x:v>
      </x:c>
      <x:c r="B27" s="38" t="str">
        <x:v>mit60001-q-026</x:v>
      </x:c>
      <x:c r="C27" s="38" t="str">
        <x:v>evaluated_37</x:v>
      </x:c>
      <x:c r="D27" s="38" t="str">
        <x:v>What happens when a list element is accessed using an index?</x:v>
      </x:c>
      <x:c r="E27" s="38" t="str">
        <x:v>- Python can locate the address of the indexed list slot and follow the stored pointer to the object in memory.
- Because the address of the i-th slot is known, any list element can be accessed by index in constant time.</x:v>
      </x:c>
      <x:c r="F27" s="38" t="str">
        <x:v>7lQXYl_L28w:semantic_cosine_wp240_v1:16</x:v>
      </x:c>
      <x:c r="G27" s="38" t="str">
        <x:v>3</x:v>
      </x:c>
      <x:c r="H27" s="38" t="str">
        <x:v>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x:v>
      </x:c>
      <x:c r="I27" s="38" t="str">
        <x:v>https://www.youtube.com/watch?v=7lQXYl_L28w&amp;t=571s</x:v>
      </x:c>
      <x:c r="J27" s="38" t="str">
        <x:v>The whole question is covered</x:v>
      </x:c>
      <x:c r="K27" s="43" t="str">
        <x:v>does_not_support</x:v>
      </x:c>
      <x:c r="L27" s="43" t="str">
        <x:v>Uses an index as part of binary search, but does not explain indexed-slot addressing, pointers, or constant-time list access.</x:v>
      </x:c>
      <x:c r="M27" s="44" t="str">
        <x:f>IF(K27="","pending","reviewed")</x:f>
        <x:v>reviewed</x:v>
      </x:c>
    </x:row>
    <x:row r="28" ht="100" customHeight="1">
      <x:c r="A28" s="38" t="str">
        <x:v>mit60001-q-026|RvRKT-jXvko:semantic_cosine_wp240_v1:23</x:v>
      </x:c>
      <x:c r="B28" s="38" t="str">
        <x:v>mit60001-q-026</x:v>
      </x:c>
      <x:c r="C28" s="38" t="str">
        <x:v>evaluated_37</x:v>
      </x:c>
      <x:c r="D28" s="38" t="str">
        <x:v>What happens when a list element is accessed using an index?</x:v>
      </x:c>
      <x:c r="E28" s="38" t="str">
        <x:v>- Python can locate the address of the indexed list slot and follow the stored pointer to the object in memory.
- Because the address of the i-th slot is known, any list element can be accessed by index in constant time.</x:v>
      </x:c>
      <x:c r="F28" s="38" t="str">
        <x:v>RvRKT-jXvko:semantic_cosine_wp240_v1:23</x:v>
      </x:c>
      <x:c r="G28" s="38" t="str">
        <x:v>2</x:v>
      </x:c>
      <x:c r="H28" s="38" t="str">
        <x:v>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c r="I28" s="38" t="str">
        <x:v>https://www.youtube.com/watch?v=RvRKT-jXvko&amp;t=965s</x:v>
      </x:c>
      <x:c r="J28" s="38" t="str">
        <x:v>The whole question is covered</x:v>
      </x:c>
      <x:c r="K28" s="43" t="str">
        <x:v>does_not_support</x:v>
      </x:c>
      <x:c r="L28" s="43" t="str">
        <x:v>Explains that indexing returns a list element, but not the expected memory-address/pointer mechanism or constant-time indexed access.</x:v>
      </x:c>
      <x:c r="M28" s="44" t="str">
        <x:f>IF(K28="","pending","reviewed")</x:f>
        <x:v>reviewed</x:v>
      </x:c>
    </x:row>
    <x:row r="29" ht="100" customHeight="1">
      <x:c r="A29" s="38" t="str">
        <x:v>mit60001-q-027|zYVWQpCitKQ:semantic_cosine_wp240_v1:1</x:v>
      </x:c>
      <x:c r="B29" s="38" t="str">
        <x:v>mit60001-q-027</x:v>
      </x:c>
      <x:c r="C29" s="38" t="str">
        <x:v>evaluated_37</x:v>
      </x:c>
      <x:c r="D29" s="38" t="str">
        <x:v>How does a for loop process the characters in a string?</x:v>
      </x:c>
      <x:c r="E29" s="38" t="str">
        <x:v>- A for loop over a string iterates directly over every character rather than over numeric indices.
- On each iteration, the loop variable holds one character from the string.</x:v>
      </x:c>
      <x:c r="F29" s="38" t="str">
        <x:v>zYVWQpCitKQ:semantic_cosine_wp240_v1:1</x:v>
      </x:c>
      <x:c r="G29" s="38" t="str">
        <x:v>2</x:v>
      </x:c>
      <x:c r="H29" s="38" t="str">
        <x:v>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x:v>
      </x:c>
      <x:c r="I29" s="38" t="str">
        <x:v>https://www.youtube.com/watch?v=zYVWQpCitKQ&amp;t=54s</x:v>
      </x:c>
      <x:c r="J29" s="38" t="str">
        <x:v>The evidence supports the mechanism of how a for loop processes characters in a string.</x:v>
      </x:c>
      <x:c r="K29" s="43" t="str">
        <x:v>does_not_support</x:v>
      </x:c>
      <x:c r="L29" s="43" t="str">
        <x:v>The loop iterates over elements of a list, not over characters of a string; it does not establish that the loop variable holds one character per iteration.</x:v>
      </x:c>
      <x:c r="M29" s="44" t="str">
        <x:f>IF(K29="","pending","reviewed")</x:f>
        <x:v>reviewed</x:v>
      </x:c>
    </x:row>
    <x:row r="30" ht="100" customHeight="1">
      <x:c r="A30" s="38" t="str">
        <x:v>mit60001-q-029|MjbuarJ7SE0:semantic_cosine_wp240_v1:20</x:v>
      </x:c>
      <x:c r="B30" s="38" t="str">
        <x:v>mit60001-q-029</x:v>
      </x:c>
      <x:c r="C30" s="38" t="str">
        <x:v>evaluated_37</x:v>
      </x:c>
      <x:c r="D30" s="38" t="str">
        <x:v>How does a function return a value to its caller?</x:v>
      </x:c>
      <x:c r="E30" s="38" t="str">
        <x:v>- A return statement specifies an expression whose evaluated value is sent back by the function.
- The code that called the function receives that returned value.</x:v>
      </x:c>
      <x:c r="F30" s="38" t="str">
        <x:v>MjbuarJ7SE0:semantic_cosine_wp240_v1:20</x:v>
      </x:c>
      <x:c r="G30" s="38" t="str">
        <x:v>2</x:v>
      </x:c>
      <x:c r="H30" s="38" t="str">
        <x:v>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x:v>
      </x:c>
      <x:c r="I30" s="38" t="str">
        <x:v>https://www.youtube.com/watch?v=MjbuarJ7SE0&amp;t=867s</x:v>
      </x:c>
      <x:c r="J30" s="38" t="str">
        <x:v>The evidence supports the mechanism by which a function returns a value to its caller.</x:v>
      </x:c>
      <x:c r="K30" s="43" t="str">
        <x:v>supports</x:v>
      </x:c>
      <x:c r="L30" s="43" t="str">
        <x:v>Directly explains that return is followed by an expression/value that is evaluated as the function's return value.</x:v>
      </x:c>
      <x:c r="M30" s="44" t="str">
        <x:f>IF(K30="","pending","reviewed")</x:f>
        <x:v>reviewed</x:v>
      </x:c>
    </x:row>
    <x:row r="31" ht="100" customHeight="1">
      <x:c r="A31" s="38" t="str">
        <x:v>mit60001-q-029|MjbuarJ7SE0:semantic_cosine_wp240_v1:21</x:v>
      </x:c>
      <x:c r="B31" s="38" t="str">
        <x:v>mit60001-q-029</x:v>
      </x:c>
      <x:c r="C31" s="38" t="str">
        <x:v>evaluated_37</x:v>
      </x:c>
      <x:c r="D31" s="38" t="str">
        <x:v>How does a function return a value to its caller?</x:v>
      </x:c>
      <x:c r="E31" s="38" t="str">
        <x:v>- A return statement specifies an expression whose evaluated value is sent back by the function.
- The code that called the function receives that returned value.</x:v>
      </x:c>
      <x:c r="F31" s="38" t="str">
        <x:v>MjbuarJ7SE0:semantic_cosine_wp240_v1:21</x:v>
      </x:c>
      <x:c r="G31" s="38" t="str">
        <x:v>3</x:v>
      </x:c>
      <x:c r="H31" s="38"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c r="I31" s="38" t="str">
        <x:v>https://www.youtube.com/watch?v=MjbuarJ7SE0&amp;t=913s</x:v>
      </x:c>
      <x:c r="J31" s="38" t="str">
        <x:v>The evidence supports the mechanism by which a function returns a value to its caller.</x:v>
      </x:c>
      <x:c r="K31" s="43" t="str">
        <x:v>supports</x:v>
      </x:c>
      <x:c r="L31" s="43" t="str">
        <x:v>Directly states that the returned value is sent back to the caller and replaces the function call.</x:v>
      </x:c>
      <x:c r="M31" s="44" t="str">
        <x:f>IF(K31="","pending","reviewed")</x:f>
        <x:v>reviewed</x:v>
      </x:c>
    </x:row>
    <x:row r="32" ht="100" customHeight="1">
      <x:c r="A32" s="38" t="str">
        <x:v>mit60001-q-031|RvRKT-jXvko:semantic_cosine_wp240_v1:37</x:v>
      </x:c>
      <x:c r="B32" s="38" t="str">
        <x:v>mit60001-q-031</x:v>
      </x:c>
      <x:c r="C32" s="38" t="str">
        <x:v>evaluated_37</x:v>
      </x:c>
      <x:c r="D32" s="38" t="str">
        <x:v>What happens when a list is mutated through one of several aliases?</x:v>
      </x:c>
      <x:c r="E32" s="38" t="str">
        <x:v>- All aliases point to the same mutable list object in memory.
- Mutating the list through one alias changes that shared object, so the changed value is visible through every alias.</x:v>
      </x:c>
      <x:c r="F32" s="38" t="str">
        <x:v>RvRKT-jXvko:semantic_cosine_wp240_v1:37</x:v>
      </x:c>
      <x:c r="G32" s="38" t="str">
        <x:v>2</x:v>
      </x:c>
      <x:c r="H32" s="38" t="str">
        <x:v>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c r="I32" s="38" t="str">
        <x:v>https://www.youtube.com/watch?v=RvRKT-jXvko&amp;t=1583s</x:v>
      </x:c>
      <x:c r="J32" s="38" t="str">
        <x:v>The evidence supports the requested behavior of lists being mutated through aliases.</x:v>
      </x:c>
      <x:c r="K32" s="43" t="str">
        <x:v>does_not_support</x:v>
      </x:c>
      <x:c r="L32" s="43" t="str">
        <x:v>Describes mutation of a list passed into a function, but does not mention multiple aliases pointing to the same object or visibility through all aliases.</x:v>
      </x:c>
      <x:c r="M32" s="44" t="str">
        <x:f>IF(K32="","pending","reviewed")</x:f>
        <x:v>reviewed</x:v>
      </x:c>
    </x:row>
    <x:row r="33" ht="100" customHeight="1">
      <x:c r="A33" s="38" t="str">
        <x:v>mit60001-q-031|RvRKT-jXvko:semantic_cosine_wp240_v1:49</x:v>
      </x:c>
      <x:c r="B33" s="38" t="str">
        <x:v>mit60001-q-031</x:v>
      </x:c>
      <x:c r="C33" s="38" t="str">
        <x:v>evaluated_37</x:v>
      </x:c>
      <x:c r="D33" s="38" t="str">
        <x:v>What happens when a list is mutated through one of several aliases?</x:v>
      </x:c>
      <x:c r="E33" s="38" t="str">
        <x:v>- All aliases point to the same mutable list object in memory.
- Mutating the list through one alias changes that shared object, so the changed value is visible through every alias.</x:v>
      </x:c>
      <x:c r="F33" s="38" t="str">
        <x:v>RvRKT-jXvko:semantic_cosine_wp240_v1:49</x:v>
      </x:c>
      <x:c r="G33" s="38" t="str">
        <x:v>3</x:v>
      </x:c>
      <x:c r="H33" s="38" t="str">
        <x:v>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c r="I33" s="38" t="str">
        <x:v>https://www.youtube.com/watch?v=RvRKT-jXvko&amp;t=2061s</x:v>
      </x:c>
      <x:c r="J33" s="38" t="str">
        <x:v>The evidence supports the requested behavior of lists being mutated through aliases.</x:v>
      </x:c>
      <x:c r="K33" s="43" t="str">
        <x:v>supports</x:v>
      </x:c>
      <x:c r="L33" s="43" t="str">
        <x:v>Directly shows two aliases pointing to the same list object and a mutation through one alias being visible through either variable.</x:v>
      </x:c>
      <x:c r="M33" s="44" t="str">
        <x:f>IF(K33="","pending","reviewed")</x:f>
        <x:v>reviewed</x:v>
      </x:c>
    </x:row>
    <x:row r="34" ht="100" customHeight="1">
      <x:c r="A34" s="38" t="str">
        <x:v>mit60001-q-033|MjbuarJ7SE0:semantic_cosine_wp240_v1:54</x:v>
      </x:c>
      <x:c r="B34" s="38" t="str">
        <x:v>mit60001-q-033</x:v>
      </x:c>
      <x:c r="C34" s="38" t="str">
        <x:v>evaluated_37</x:v>
      </x:c>
      <x:c r="D34" s="38" t="str">
        <x:v>How does the course connect decomposition and abstraction when building programs with functions?</x:v>
      </x:c>
      <x:c r="E34" s="38" t="str">
        <x:v>- Decomposition creates structure by splitting a program into functional units.
- Abstraction suppresses implementation details behind a function specification or docstring.
- Once a task is implemented as a function, it can be reused without rewriting the code or knowing its internal details.</x:v>
      </x:c>
      <x:c r="F34" s="38" t="str">
        <x:v>MjbuarJ7SE0:semantic_cosine_wp240_v1:54</x:v>
      </x:c>
      <x:c r="G34" s="38" t="str">
        <x:v>3</x:v>
      </x:c>
      <x:c r="H34" s="38"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c r="I34" s="38" t="str">
        <x:v>https://www.youtube.com/watch?v=MjbuarJ7SE0&amp;t=2418s</x:v>
      </x:c>
      <x:c r="J34" s="38" t="str">
        <x:v>The evidence supports both sides of the question and provides direct support for the requested contrast.</x:v>
      </x:c>
      <x:c r="K34" s="43" t="str">
        <x:v>supports</x:v>
      </x:c>
      <x:c r="L34" s="43" t="str">
        <x:v>Supports the reuse consequence of decomposition/abstraction: functions can be defined once, debugged once, and reused without rewriting the code. It does not define both concepts by itself.</x:v>
      </x:c>
      <x:c r="M34" s="44" t="str">
        <x:f>IF(K34="","pending","reviewed")</x:f>
        <x:v>reviewed</x:v>
      </x:c>
    </x:row>
    <x:row r="35" ht="100" customHeight="1">
      <x:c r="A35" s="38" t="str">
        <x:v>mit60001-q-034|9H6muyZjms0:semantic_cosine_wp240_v1:31</x:v>
      </x:c>
      <x:c r="B35" s="38" t="str">
        <x:v>mit60001-q-034</x:v>
      </x:c>
      <x:c r="C35" s="38" t="str">
        <x:v>evaluated_37</x:v>
      </x:c>
      <x:c r="D35" s="38" t="str">
        <x:v>How does the course connect testing and debugging when finding program errors?</x:v>
      </x:c>
      <x:c r="E35" s="38" t="str">
        <x:v>- Testing uses expected and actual results to identify what is wrong.
- Debugging then determines how or why the bad result occurred and pinpoints the responsible line, lines, or function.</x:v>
      </x:c>
      <x:c r="F35" s="38" t="str">
        <x:v>9H6muyZjms0:semantic_cosine_wp240_v1:31</x:v>
      </x:c>
      <x:c r="G35" s="38" t="str">
        <x:v>1</x:v>
      </x:c>
      <x:c r="H35" s="38"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c r="I35" s="38" t="str">
        <x:v>https://www.youtube.com/watch?v=9H6muyZjms0&amp;t=1286s</x:v>
      </x:c>
      <x:c r="J35" s="38" t="str">
        <x:v>The evidence supports the connection between testing and debugging when finding program errors.</x:v>
      </x:c>
      <x:c r="K35" s="43" t="str">
        <x:v>does_not_support</x:v>
      </x:c>
      <x:c r="L35" s="43" t="str">
        <x:v>Discusses exceptions and unexpected conditions, not the distinction that testing finds what is wrong while debugging finds how/why and locates the responsible code.</x:v>
      </x:c>
      <x:c r="M35" s="44" t="str">
        <x:f>IF(K35="","pending","reviewed")</x:f>
        <x:v>reviewed</x:v>
      </x:c>
    </x:row>
    <x:row r="36" ht="100" customHeight="1">
      <x:c r="A36" s="38" t="str">
        <x:v>mit60001-q-035|RvRKT-jXvko:semantic_cosine_wp240_v1:47</x:v>
      </x:c>
      <x:c r="B36" s="38" t="str">
        <x:v>mit60001-q-035</x:v>
      </x:c>
      <x:c r="C36" s="38" t="str">
        <x:v>evaluated_37</x:v>
      </x:c>
      <x:c r="D36" s="38" t="str">
        <x:v>How does the course connect list aliasing with mutation side effects?</x:v>
      </x:c>
      <x:c r="E36" s="38" t="str">
        <x:v>- Aliasing means two names can point to the same list object.
- Because the list is mutable, a change made through one alias changes the shared object and appears through the other alias.
- This shared visible change is a mutation side effect.</x:v>
      </x:c>
      <x:c r="F36" s="38" t="str">
        <x:v>RvRKT-jXvko:semantic_cosine_wp240_v1:47</x:v>
      </x:c>
      <x:c r="G36" s="38" t="str">
        <x:v>1</x:v>
      </x:c>
      <x:c r="H36" s="38" t="str">
        <x:v>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c r="I36" s="38" t="str">
        <x:v>https://www.youtube.com/watch?v=RvRKT-jXvko&amp;t=1995s</x:v>
      </x:c>
      <x:c r="J36" s="38" t="str">
        <x:v>The evidence supports both sides of the question and provides direct support for the requested mechanism.</x:v>
      </x:c>
      <x:c r="K36" s="43" t="str">
        <x:v>supports</x:v>
      </x:c>
      <x:c r="L36" s="43" t="str">
        <x:v>Directly explains aliases referring to the same mutable list object and all aliases seeing the changed object after mutation.</x:v>
      </x:c>
      <x:c r="M36" s="44" t="str">
        <x:f>IF(K36="","pending","reviewed")</x:f>
        <x:v>reviewed</x:v>
      </x:c>
    </x:row>
    <x:row r="37" ht="100" customHeight="1">
      <x:c r="A37" s="38" t="str">
        <x:v>mit60001-q-038|7lQXYl_L28w:semantic_cosine_wp240_v1:13</x:v>
      </x:c>
      <x:c r="B37" s="38" t="str">
        <x:v>mit60001-q-038</x:v>
      </x:c>
      <x:c r="C37" s="38" t="str">
        <x:v>evaluated_37</x:v>
      </x:c>
      <x:c r="D37" s="38" t="str">
        <x:v>How does the requirement for sorted input distinguish binary search from linear search?</x:v>
      </x:c>
      <x:c r="E37" s="38" t="str">
        <x:v>- Bisection search requires the list to be sorted, and the ordering lets it cut down the size of the remaining search problem.
- Linear search does not require sorted input and may scan through the list until it finds the target or reaches the end.</x:v>
      </x:c>
      <x:c r="F37" s="38" t="str">
        <x:v>7lQXYl_L28w:semantic_cosine_wp240_v1:13</x:v>
      </x:c>
      <x:c r="G37" s="38" t="str">
        <x:v>3</x:v>
      </x:c>
      <x:c r="H37" s="38"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c r="I37" s="38" t="str">
        <x:v>https://www.youtube.com/watch?v=7lQXYl_L28w&amp;t=478s</x:v>
      </x:c>
      <x:c r="J37" s="38" t="str">
        <x:v>The evidence supports both sides of the question and the requested contrast between binary search and linear search.</x:v>
      </x:c>
      <x:c r="K37" s="43" t="str">
        <x:v>does_not_support</x:v>
      </x:c>
      <x:c r="L37" s="43" t="str">
        <x:v>Contrasts binary/bisection search with sequential scanning, but does not state the central sorted-input requirement or how ordering enables reducing the search space.</x:v>
      </x:c>
      <x:c r="M37" s="44" t="str">
        <x:f>IF(K37="","pending","reviewed")</x:f>
        <x:v>reviewed</x:v>
      </x:c>
    </x:row>
    <x:row r="38" ht="100" customHeight="1">
      <x:c r="A38" s="38" t="str">
        <x:v>mit60001-q-038|o9nW0uBqvEo:semantic_cosine_wp240_v1:70</x:v>
      </x:c>
      <x:c r="B38" s="38" t="str">
        <x:v>mit60001-q-038</x:v>
      </x:c>
      <x:c r="C38" s="38" t="str">
        <x:v>evaluated_37</x:v>
      </x:c>
      <x:c r="D38" s="38" t="str">
        <x:v>How does the requirement for sorted input distinguish binary search from linear search?</x:v>
      </x:c>
      <x:c r="E38" s="38" t="str">
        <x:v>- Bisection search requires the list to be sorted, and the ordering lets it cut down the size of the remaining search problem.
- Linear search does not require sorted input and may scan through the list until it finds the target or reaches the end.</x:v>
      </x:c>
      <x:c r="F38" s="38" t="str">
        <x:v>o9nW0uBqvEo:semantic_cosine_wp240_v1:70</x:v>
      </x:c>
      <x:c r="G38" s="38" t="str">
        <x:v>2</x:v>
      </x:c>
      <x:c r="H38" s="38" t="str">
        <x:v>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x:v>
      </x:c>
      <x:c r="I38" s="38" t="str">
        <x:v>https://www.youtube.com/watch?v=o9nW0uBqvEo&amp;t=2689s</x:v>
      </x:c>
      <x:c r="J38" s="38" t="str">
        <x:v>The evidence supports both sides of the question and the requested contrast between binary search and linear search.</x:v>
      </x:c>
      <x:c r="K38" s="43" t="str">
        <x:v>supports</x:v>
      </x:c>
      <x:c r="L38" s="43" t="str">
        <x:v>States that sorted order can be exploited for a more efficient search and that sequential list search is linear; the opening context also indicates sequential search does not depend on sortedness.</x:v>
      </x:c>
      <x:c r="M38" s="44" t="str">
        <x:f>IF(K38="","pending","reviewed")</x:f>
        <x:v>reviewed</x:v>
      </x:c>
    </x:row>
    <x:row r="39" ht="100" customHeight="1">
      <x:c r="A39" s="38" t="str">
        <x:v>mit60001-q-039|9H6muyZjms0:semantic_cosine_wp240_v1:17</x:v>
      </x:c>
      <x:c r="B39" s="38" t="str">
        <x:v>mit60001-q-039</x:v>
      </x:c>
      <x:c r="C39" s="38" t="str">
        <x:v>evaluated_37</x:v>
      </x:c>
      <x:c r="D39" s="38" t="str">
        <x:v>How does the course distinguish black-box testing from glass-box testing?</x:v>
      </x:c>
      <x:c r="E39" s="38" t="str">
        <x:v>- Black-box testing creates tests from the specification or docstring without using the implementation code.
- Glass-box testing uses the code itself to design tests that exercise its possible execution paths.</x:v>
      </x:c>
      <x:c r="F39" s="38" t="str">
        <x:v>9H6muyZjms0:semantic_cosine_wp240_v1:17</x:v>
      </x:c>
      <x:c r="G39" s="38" t="str">
        <x:v>3</x:v>
      </x:c>
      <x:c r="H39" s="38" t="str">
        <x:v>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x:v>
      </x:c>
      <x:c r="I39" s="38" t="str">
        <x:v>https://www.youtube.com/watch?v=9H6muyZjms0&amp;t=704s</x:v>
      </x:c>
      <x:c r="J39" s="38" t="str">
        <x:v>The evidence supports the distinction between black-box testing and glass-box testing, covering the key aspects of each approach.</x:v>
      </x:c>
      <x:c r="K39" s="43" t="str">
        <x:v>does_not_support</x:v>
      </x:c>
      <x:c r="L39" s="43" t="str">
        <x:v>Explains glass-box path-complete testing only; it does not provide the black-box side required to distinguish the two approaches.</x:v>
      </x:c>
      <x:c r="M39" s="44" t="str">
        <x:f>IF(K39="","pending","reviewed")</x:f>
        <x:v>reviewed</x:v>
      </x:c>
    </x:row>
  </x:sheetData>
  <x:dataValidations count="1">
    <x:dataValidation type="list" sqref="K2:K39">
      <x:formula1>"supports,does_not_support,needs_discussion"</x:formula1>
    </x:dataValidation>
  </x:dataValidations>
  <x:pageMargins left="0.7" right="0.7" top="0.75" bottom="0.75" header="0.3" footer="0.3"/>
  <x:tableParts count="1">
    <x:tablePart xmlns:r="http://schemas.openxmlformats.org/officeDocument/2006/relationships" r:id="R26539171f4584af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50" hidden="0" customWidth="1"/>
    <x:col min="2" max="2" width="20" hidden="0" customWidth="1"/>
    <x:col min="3" max="3" width="20" hidden="0" customWidth="1"/>
    <x:col min="4" max="4" width="48" hidden="0" customWidth="1"/>
    <x:col min="5" max="5" width="62" hidden="0" customWidth="1"/>
    <x:col min="6" max="6" width="20" hidden="0" customWidth="1"/>
    <x:col min="7" max="7" width="20" hidden="0" customWidth="1"/>
    <x:col min="8" max="8" width="20" hidden="0" customWidth="1"/>
    <x:col min="9" max="9" width="50" hidden="0" customWidth="1"/>
    <x:col min="10" max="10" width="20" hidden="0" customWidth="1"/>
    <x:col min="11" max="11" width="88" hidden="0" customWidth="1"/>
    <x:col min="12" max="12" width="38" hidden="0" customWidth="1"/>
    <x:col min="13" max="13" width="55" hidden="0" customWidth="1"/>
    <x:col min="14" max="14" width="55" hidden="0" customWidth="1"/>
    <x:col min="15" max="15" width="24" hidden="0" customWidth="1"/>
    <x:col min="16" max="16" width="24" hidden="0" customWidth="1"/>
    <x:col min="17" max="17" width="24" hidden="0" customWidth="1"/>
    <x:col min="18" max="18" width="24" hidden="0" customWidth="1"/>
  </x:cols>
  <x:sheetData>
    <x:row r="1" ht="34" customHeight="1">
      <x:c r="A1" s="42" t="str">
        <x:v>review_key</x:v>
      </x:c>
      <x:c r="B1" s="42" t="str">
        <x:v>question_id</x:v>
      </x:c>
      <x:c r="C1" s="42" t="str">
        <x:v>decision_evaluation_scope</x:v>
      </x:c>
      <x:c r="D1" s="42" t="str">
        <x:v>question</x:v>
      </x:c>
      <x:c r="E1" s="42" t="str">
        <x:v>expected_answer_points</x:v>
      </x:c>
      <x:c r="F1" s="42" t="str">
        <x:v>selected_by_variants</x:v>
      </x:c>
      <x:c r="G1" s="42" t="str">
        <x:v>control_e1_selected</x:v>
      </x:c>
      <x:c r="H1" s="42" t="str">
        <x:v>candidate_e2_selected</x:v>
      </x:c>
      <x:c r="I1" s="42" t="str">
        <x:v>supporting_chunk_id</x:v>
      </x:c>
      <x:c r="J1" s="42" t="str">
        <x:v>supporting_rank</x:v>
      </x:c>
      <x:c r="K1" s="42" t="str">
        <x:v>supporting_chunk_text</x:v>
      </x:c>
      <x:c r="L1" s="42" t="str">
        <x:v>citation_url</x:v>
      </x:c>
      <x:c r="M1" s="42" t="str">
        <x:v>e1_reason</x:v>
      </x:c>
      <x:c r="N1" s="42" t="str">
        <x:v>e2_reason</x:v>
      </x:c>
      <x:c r="O1" s="42" t="str">
        <x:v>verdict_source</x:v>
      </x:c>
      <x:c r="P1" s="42" t="str">
        <x:v>human_entailment_verdict</x:v>
      </x:c>
      <x:c r="Q1" s="42" t="str">
        <x:v>human_notes</x:v>
      </x:c>
      <x:c r="R1" s="42" t="str">
        <x:v>human_review_status</x:v>
      </x:c>
    </x:row>
    <x:row r="2" ht="74" customHeight="1">
      <x:c r="A2" s="38" t="str">
        <x:v>mit60001-q-001|nykOeWgQcHM:semantic_cosine_wp240_v1:3</x:v>
      </x:c>
      <x:c r="B2" s="38" t="str">
        <x:v>mit60001-q-001</x:v>
      </x:c>
      <x:c r="C2" s="38" t="str">
        <x:v>evaluated_37</x:v>
      </x:c>
      <x:c r="D2" s="38" t="str">
        <x:v>According to the course introduction, what learning goals are introduced for students?</x:v>
      </x:c>
      <x:c r="E2"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2" s="38" t="str">
        <x:v>candidate_v2_e2</x:v>
      </x:c>
      <x:c r="G2" s="38" t="str">
        <x:v>False</x:v>
      </x:c>
      <x:c r="H2" s="38" t="str">
        <x:v>True</x:v>
      </x:c>
      <x:c r="I2" s="38" t="str">
        <x:v>nykOeWgQcHM:semantic_cosine_wp240_v1:3</x:v>
      </x:c>
      <x:c r="J2" s="38" t="str">
        <x:v>2</x:v>
      </x:c>
      <x:c r="K2" s="38" t="str">
        <x:v>for future reference.
It's true.
This is a really
fast-paced course,
and we ramp up really quickly.
We do want to position you
to succeed in this course.
As I was writing
this, I was trying
to think about when
I was first starting
to program what helped
me get through my very
first programming course.
And this is really a good list.
The first thing was I just
read the psets as soon
as they came out, made sure that
the terminology just sunk in.
And then, during
lectures, if the lecturer
was talking about something
that suddenly I remembered,
oh, I saw that word in the pset
and I didn't know what it was.
Well, hey, now I
know what it is.</x:v>
      </x:c>
      <x:c r="L2" s="38" t="str">
        <x:v>https://www.youtube.com/watch?v=nykOeWgQcHM&amp;t=127s</x:v>
      </x:c>
      <x:c r="M2" s="38" t="str"/>
      <x:c r="N2" s="38" t="str">
        <x:v>The whole question is covered.</x:v>
      </x:c>
      <x:c r="O2" s="38" t="str"/>
      <x:c r="P2" s="38" t="str"/>
      <x:c r="Q2" s="38" t="str"/>
      <x:c r="R2" s="38" t="str">
        <x:v>pending</x:v>
      </x:c>
    </x:row>
    <x:row r="3" ht="74" customHeight="1">
      <x:c r="A3" s="38" t="str">
        <x:v>mit60001-q-001|nykOeWgQcHM:semantic_cosine_wp240_v1:6</x:v>
      </x:c>
      <x:c r="B3" s="38" t="str">
        <x:v>mit60001-q-001</x:v>
      </x:c>
      <x:c r="C3" s="38" t="str">
        <x:v>evaluated_37</x:v>
      </x:c>
      <x:c r="D3" s="38" t="str">
        <x:v>According to the course introduction, what learning goals are introduced for students?</x:v>
      </x:c>
      <x:c r="E3"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3" s="38" t="str">
        <x:v>candidate_v2_e2</x:v>
      </x:c>
      <x:c r="G3" s="38" t="str">
        <x:v>False</x:v>
      </x:c>
      <x:c r="H3" s="38" t="str">
        <x:v>True</x:v>
      </x:c>
      <x:c r="I3" s="38" t="str">
        <x:v>nykOeWgQcHM:semantic_cosine_wp240_v1:6</x:v>
      </x:c>
      <x:c r="J3" s="38" t="str">
        <x:v>1</x:v>
      </x:c>
      <x:c r="K3" s="38"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c r="L3" s="38" t="str">
        <x:v>https://www.youtube.com/watch?v=nykOeWgQcHM&amp;t=261s</x:v>
      </x:c>
      <x:c r="M3" s="38" t="str"/>
      <x:c r="N3" s="38" t="str">
        <x:v>The whole question is covered.</x:v>
      </x:c>
      <x:c r="O3" s="38" t="str"/>
      <x:c r="P3" s="38" t="str"/>
      <x:c r="Q3" s="38" t="str"/>
      <x:c r="R3" s="38" t="str">
        <x:v>pending</x:v>
      </x:c>
    </x:row>
    <x:row r="4" ht="74" customHeight="1">
      <x:c r="A4" s="38" t="str">
        <x:v>mit60001-q-001|nykOeWgQcHM:semantic_cosine_wp240_v1:7</x:v>
      </x:c>
      <x:c r="B4" s="38" t="str">
        <x:v>mit60001-q-001</x:v>
      </x:c>
      <x:c r="C4" s="38" t="str">
        <x:v>evaluated_37</x:v>
      </x:c>
      <x:c r="D4" s="38" t="str">
        <x:v>According to the course introduction, what learning goals are introduced for students?</x:v>
      </x:c>
      <x:c r="E4" s="38" t="str">
        <x:v>- Gain conceptual knowledge and programming skills.
- Learn to solve problems through problem sets and sustained programming practice.
- Read problem sets early so course terminology becomes familiar.
- Develop recursive problem solving by reducing a hard problem to simpler versions of the same problem.</x:v>
      </x:c>
      <x:c r="F4" s="38" t="str">
        <x:v>candidate_v2_e2</x:v>
      </x:c>
      <x:c r="G4" s="38" t="str">
        <x:v>False</x:v>
      </x:c>
      <x:c r="H4" s="38" t="str">
        <x:v>True</x:v>
      </x:c>
      <x:c r="I4" s="38" t="str">
        <x:v>nykOeWgQcHM:semantic_cosine_wp240_v1:7</x:v>
      </x:c>
      <x:c r="J4" s="38" t="str">
        <x:v>3</x:v>
      </x:c>
      <x:c r="K4" s="38" t="str">
        <x:v>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c r="L4" s="38" t="str">
        <x:v>https://www.youtube.com/watch?v=nykOeWgQcHM&amp;t=306s</x:v>
      </x:c>
      <x:c r="M4" s="38" t="str"/>
      <x:c r="N4" s="38" t="str">
        <x:v>The whole question is covered.</x:v>
      </x:c>
      <x:c r="O4" s="38" t="str"/>
      <x:c r="P4" s="38" t="str"/>
      <x:c r="Q4" s="38" t="str"/>
      <x:c r="R4" s="38" t="str">
        <x:v>pending</x:v>
      </x:c>
    </x:row>
    <x:row r="5" ht="74" customHeight="1">
      <x:c r="A5" s="38" t="str">
        <x:v>mit60001-q-002|nykOeWgQcHM:semantic_cosine_wp240_v1:5</x:v>
      </x:c>
      <x:c r="B5" s="38" t="str">
        <x:v>mit60001-q-002</x:v>
      </x:c>
      <x:c r="C5" s="38" t="str">
        <x:v>evaluated_37</x:v>
      </x:c>
      <x:c r="D5" s="38" t="str">
        <x:v>What does the course say students should do to practice programming effectively?</x:v>
      </x:c>
      <x:c r="E5" s="38" t="str">
        <x:v>- Read problem sets early to become familiar with terminology.
- Practice programming directly rather than only watching someone else code.
- Download the code before lecture.</x:v>
      </x:c>
      <x:c r="F5" s="38" t="str">
        <x:v>candidate_v2_e2</x:v>
      </x:c>
      <x:c r="G5" s="38" t="str">
        <x:v>False</x:v>
      </x:c>
      <x:c r="H5" s="38" t="str">
        <x:v>True</x:v>
      </x:c>
      <x:c r="I5" s="38" t="str">
        <x:v>nykOeWgQcHM:semantic_cosine_wp240_v1:5</x:v>
      </x:c>
      <x:c r="J5" s="38" t="str">
        <x:v>3</x:v>
      </x:c>
      <x:c r="K5" s="38" t="str">
        <x:v>Yeah.
That's probably the
big thing right there.
I should have probably
highlighted it,
but don't be afraid.
Great.
So this is pretty much a
roadmap of all of 6.0001 or 600
as I've just explained it.
There's three big things we
want to get out of this course.
The first thing is the
knowledge of concepts,
which is pretty much true of
any class that you'll take.
The class will teach you
something through lectures.
Exams will test
how much you know.
This is a class in programming.
The other thing we want
you to get out of it
is programming skills.
And the last thing,
and I think this
is what makes this
class really great,
is we teach you how
to solve problems.
And we do that
through the psets.
That's really how I feel
the roadmap of this course</x:v>
      </x:c>
      <x:c r="L5" s="38" t="str">
        <x:v>https://www.youtube.com/watch?v=nykOeWgQcHM&amp;t=215s</x:v>
      </x:c>
      <x:c r="M5" s="38" t="str"/>
      <x:c r="N5" s="38" t="str">
        <x:v>The evidence supports the requested answer and covers the entire question.</x:v>
      </x:c>
      <x:c r="O5" s="38" t="str"/>
      <x:c r="P5" s="38" t="str"/>
      <x:c r="Q5" s="38" t="str"/>
      <x:c r="R5" s="38" t="str">
        <x:v>pending</x:v>
      </x:c>
    </x:row>
    <x:row r="6" ht="74" customHeight="1">
      <x:c r="A6" s="38" t="str">
        <x:v>mit60001-q-002|nykOeWgQcHM:semantic_cosine_wp240_v1:6</x:v>
      </x:c>
      <x:c r="B6" s="38" t="str">
        <x:v>mit60001-q-002</x:v>
      </x:c>
      <x:c r="C6" s="38" t="str">
        <x:v>evaluated_37</x:v>
      </x:c>
      <x:c r="D6" s="38" t="str">
        <x:v>What does the course say students should do to practice programming effectively?</x:v>
      </x:c>
      <x:c r="E6" s="38" t="str">
        <x:v>- Read problem sets early to become familiar with terminology.
- Practice programming directly rather than only watching someone else code.
- Download the code before lecture.</x:v>
      </x:c>
      <x:c r="F6" s="38" t="str">
        <x:v>candidate_v2_e2</x:v>
      </x:c>
      <x:c r="G6" s="38" t="str">
        <x:v>False</x:v>
      </x:c>
      <x:c r="H6" s="38" t="str">
        <x:v>True</x:v>
      </x:c>
      <x:c r="I6" s="38" t="str">
        <x:v>nykOeWgQcHM:semantic_cosine_wp240_v1:6</x:v>
      </x:c>
      <x:c r="J6" s="38" t="str">
        <x:v>2</x:v>
      </x:c>
      <x:c r="K6" s="38" t="str">
        <x:v>looks like.
And underlying all of
these is just practice.
You have to just type some
stuff away and code a lot.
And you'll succeed in
this course, I think.
OK.
So what are the things we're
going to learn in this class?
I feel like the things we're
going learn in this class
can be divided into basically
three different sections.
The first one is related to
these first two items here.
It's really about
learning how to program.
Learning how to
program, part of it
is figuring out what
objects to create.
You'll learn about these later.
How do you represent knowledge
with data structures?
That's sort of the
broad term for that.
And then, as you're
writing programs,</x:v>
      </x:c>
      <x:c r="L6" s="38" t="str">
        <x:v>https://www.youtube.com/watch?v=nykOeWgQcHM&amp;t=261s</x:v>
      </x:c>
      <x:c r="M6" s="38" t="str"/>
      <x:c r="N6" s="38" t="str">
        <x:v>The evidence supports the requested answer and covers the entire question.</x:v>
      </x:c>
      <x:c r="O6" s="38" t="str"/>
      <x:c r="P6" s="38" t="str"/>
      <x:c r="Q6" s="38" t="str"/>
      <x:c r="R6" s="38" t="str">
        <x:v>pending</x:v>
      </x:c>
    </x:row>
    <x:row r="7" ht="74" customHeight="1">
      <x:c r="A7" s="38" t="str">
        <x:v>mit60001-q-002|nykOeWgQcHM:semantic_cosine_wp240_v1:7</x:v>
      </x:c>
      <x:c r="B7" s="38" t="str">
        <x:v>mit60001-q-002</x:v>
      </x:c>
      <x:c r="C7" s="38" t="str">
        <x:v>evaluated_37</x:v>
      </x:c>
      <x:c r="D7" s="38" t="str">
        <x:v>What does the course say students should do to practice programming effectively?</x:v>
      </x:c>
      <x:c r="E7" s="38" t="str">
        <x:v>- Read problem sets early to become familiar with terminology.
- Practice programming directly rather than only watching someone else code.
- Download the code before lecture.</x:v>
      </x:c>
      <x:c r="F7" s="38" t="str">
        <x:v>candidate_v2_e2
current_control_e1</x:v>
      </x:c>
      <x:c r="G7" s="38" t="str">
        <x:v>True</x:v>
      </x:c>
      <x:c r="H7" s="38" t="str">
        <x:v>True</x:v>
      </x:c>
      <x:c r="I7" s="38" t="str">
        <x:v>nykOeWgQcHM:semantic_cosine_wp240_v1:7</x:v>
      </x:c>
      <x:c r="J7" s="38" t="str">
        <x:v>1</x:v>
      </x:c>
      <x:c r="K7" s="38" t="str">
        <x:v>you need to-- programs
aren't just linear.
Sometimes programs jump around.
They make decisions.
There's some control
flow to programs.
That's what the second
line is going to be about.
The second big
part of this course
is a little bit more
abstract, and it
deals with how do you write
good code, good style,
code that's readable.
When you write code, you
want to write it such
that-- you're in big company,
other people will read it,
other people will
use it, so it has
to be readable and
understandable by others.
To that end, you
need to write code
that's well organized,
modular, easy to understand.
And not only that, not
only will your code</x:v>
      </x:c>
      <x:c r="L7" s="38" t="str">
        <x:v>https://www.youtube.com/watch?v=nykOeWgQcHM&amp;t=306s</x:v>
      </x:c>
      <x:c r="M7" s="38" t="str">
        <x:v>The candidate excerpt directly supports the answer 'To practice programming effectively, you need to write code that's well organized, modular, easy to understand, and readable by others.' with chunk_id 'nykOeWgQcHM:semantic_cosine_wp240_v1:7'.</x:v>
      </x:c>
      <x:c r="N7" s="38" t="str">
        <x:v>The evidence supports the requested answer and covers the entire question.</x:v>
      </x:c>
      <x:c r="O7" s="38" t="str">
        <x:v>baseline_m3_canonical</x:v>
      </x:c>
      <x:c r="P7" s="38" t="str">
        <x:v>does_not_support</x:v>
      </x:c>
      <x:c r="Q7" s="38" t="str">
        <x:v>Discusses readable/modular code and program control flow, not the expected practice advice (read problem sets early, program directly, download code).</x:v>
      </x:c>
      <x:c r="R7" s="38" t="str">
        <x:v>canonical_reuse</x:v>
      </x:c>
    </x:row>
    <x:row r="8" ht="74" customHeight="1">
      <x:c r="A8" s="38" t="str">
        <x:v>mit60001-q-003|MjbuarJ7SE0:semantic_cosine_wp240_v1:21</x:v>
      </x:c>
      <x:c r="B8" s="38" t="str">
        <x:v>mit60001-q-003</x:v>
      </x:c>
      <x:c r="C8" s="38" t="str">
        <x:v>evaluated_37</x:v>
      </x:c>
      <x:c r="D8" s="38" t="str">
        <x:v>How does Python use variable names in different scopes?</x:v>
      </x:c>
      <x:c r="E8" s="38" t="str">
        <x:v>- The same variable name can exist in the global scope and in a different scope.
- Python uses the variable names of the current scope, so same-named variables in different scopes do not interfere with one another.</x:v>
      </x:c>
      <x:c r="F8" s="38" t="str">
        <x:v>candidate_v2_e2
current_control_e1</x:v>
      </x:c>
      <x:c r="G8" s="38" t="str">
        <x:v>True</x:v>
      </x:c>
      <x:c r="H8" s="38" t="str">
        <x:v>True</x:v>
      </x:c>
      <x:c r="I8" s="38" t="str">
        <x:v>MjbuarJ7SE0:semantic_cosine_wp240_v1:21</x:v>
      </x:c>
      <x:c r="J8" s="38" t="str">
        <x:v>2</x:v>
      </x:c>
      <x:c r="K8" s="38"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c r="L8" s="38" t="str">
        <x:v>https://www.youtube.com/watch?v=MjbuarJ7SE0&amp;t=913s</x:v>
      </x:c>
      <x:c r="M8" s="38" t="str">
        <x:v>The candidate excerpt directly supports the answer that Python uses variable names in different scopes, and the scope of a function is a completely separate environment than the environment of the main program.</x:v>
      </x:c>
      <x:c r="N8" s="38" t="str">
        <x:v>The evidence supports the requested answer and covers the entire question.</x:v>
      </x:c>
      <x:c r="O8" s="38" t="str">
        <x:v>baseline_m3_canonical</x:v>
      </x:c>
      <x:c r="P8" s="38" t="str">
        <x:v>supports</x:v>
      </x:c>
      <x:c r="Q8" s="38" t="str">
        <x:v>Explains that a function scope is a separate environment from the main program, supporting separation of same-named variables across scopes.</x:v>
      </x:c>
      <x:c r="R8" s="38" t="str">
        <x:v>canonical_reuse</x:v>
      </x:c>
    </x:row>
    <x:row r="9" ht="74" customHeight="1">
      <x:c r="A9" s="38" t="str">
        <x:v>mit60001-q-003|MjbuarJ7SE0:semantic_cosine_wp240_v1:42</x:v>
      </x:c>
      <x:c r="B9" s="38" t="str">
        <x:v>mit60001-q-003</x:v>
      </x:c>
      <x:c r="C9" s="38" t="str">
        <x:v>evaluated_37</x:v>
      </x:c>
      <x:c r="D9" s="38" t="str">
        <x:v>How does Python use variable names in different scopes?</x:v>
      </x:c>
      <x:c r="E9" s="38" t="str">
        <x:v>- The same variable name can exist in the global scope and in a different scope.
- Python uses the variable names of the current scope, so same-named variables in different scopes do not interfere with one another.</x:v>
      </x:c>
      <x:c r="F9" s="38" t="str">
        <x:v>candidate_v2_e2
current_control_e1</x:v>
      </x:c>
      <x:c r="G9" s="38" t="str">
        <x:v>True</x:v>
      </x:c>
      <x:c r="H9" s="38" t="str">
        <x:v>True</x:v>
      </x:c>
      <x:c r="I9" s="38" t="str">
        <x:v>MjbuarJ7SE0:semantic_cosine_wp240_v1:42</x:v>
      </x:c>
      <x:c r="J9" s="38" t="str">
        <x:v>3</x:v>
      </x:c>
      <x:c r="K9" s="38" t="str">
        <x:v>Python's going to use
those variable names,
so they don't interfere
with each other at all.
So in this example, I've defined
a variable x is equal to 1,
and then I incremented, and that
doesn't interfere with the fact
that we have a
variable x outside.
This one's a little
bit trickier.
I define this function
g, and all g does
is access a variable x.
But notice inside g, I've
never actually declared
or initialized a variable x.
In this f, I said
x is equal to 1.
But in here, I'm
just sort of using x.
So this does not
give you an error.</x:v>
      </x:c>
      <x:c r="L9" s="38" t="str">
        <x:v>https://www.youtube.com/watch?v=MjbuarJ7SE0&amp;t=1885s</x:v>
      </x:c>
      <x:c r="M9" s="38" t="str">
        <x:v>The candidate excerpt directly supports the answer that Python uses variable names in different scopes, and the scope of a function is a completely separate environment than the environment of the main program.</x:v>
      </x:c>
      <x:c r="N9" s="38" t="str">
        <x:v>The evidence supports the requested answer and covers the entire question.</x:v>
      </x:c>
      <x:c r="O9" s="38" t="str">
        <x:v>baseline_m3_canonical</x:v>
      </x:c>
      <x:c r="P9" s="38" t="str">
        <x:v>supports</x:v>
      </x:c>
      <x:c r="Q9" s="38" t="str">
        <x:v>Directly states that same-named variables in different scopes do not interfere with each other.</x:v>
      </x:c>
      <x:c r="R9" s="38" t="str">
        <x:v>canonical_reuse</x:v>
      </x:c>
    </x:row>
    <x:row r="10" ht="74" customHeight="1">
      <x:c r="A10" s="38" t="str">
        <x:v>mit60001-q-004|0jljZRnHwOI:semantic_cosine_wp240_v1:31</x:v>
      </x:c>
      <x:c r="B10" s="38" t="str">
        <x:v>mit60001-q-004</x:v>
      </x:c>
      <x:c r="C10" s="38" t="str">
        <x:v>evaluated_37</x:v>
      </x:c>
      <x:c r="D10" s="38" t="str">
        <x:v>What is the difference between assignment (=) and equality (==) in Python?</x:v>
      </x:c>
      <x:c r="E10" s="38" t="str">
        <x:v>- The single equals sign assigns a value to a variable.
- The double equals sign tests whether two values are equal and produces a Boolean result.</x:v>
      </x:c>
      <x:c r="F10" s="38" t="str">
        <x:v>candidate_v2_e2</x:v>
      </x:c>
      <x:c r="G10" s="38" t="str">
        <x:v>False</x:v>
      </x:c>
      <x:c r="H10" s="38" t="str">
        <x:v>True</x:v>
      </x:c>
      <x:c r="I10" s="38" t="str">
        <x:v>0jljZRnHwOI:semantic_cosine_wp240_v1:31</x:v>
      </x:c>
      <x:c r="J10" s="38" t="str">
        <x:v>2</x:v>
      </x:c>
      <x:c r="K10" s="38" t="str">
        <x:v>So notice that we denoted
code blocks using indentation.
And that's actually
one of the things
that I really like about Python.
It sort of forces you to
write pretty code and nice
looking code and just
code that's very readable.
And that forces you to indent
everything that's a code block.
So you can easily see sort of
where the flow of control is
and where decision making
points are and things like that.
So in this particular example,
we have one if statement here,
and it checks if two
variables are equal.
And we have an if, elif, else.
And in this example, we're
going to enter either this code
block or this one or
this one, depending
on the variables of x and y.
And we're only going
into one code block.
And we'll enter the
first one that's true.</x:v>
      </x:c>
      <x:c r="L10" s="38" t="str">
        <x:v>https://www.youtube.com/watch?v=0jljZRnHwOI&amp;t=1455s</x:v>
      </x:c>
      <x:c r="M10" s="38" t="str"/>
      <x:c r="N10" s="38" t="str">
        <x:v>The evidence supports both sides of the question and the requested contrast.</x:v>
      </x:c>
      <x:c r="O10" s="38" t="str"/>
      <x:c r="P10" s="38" t="str"/>
      <x:c r="Q10" s="38" t="str"/>
      <x:c r="R10" s="38" t="str">
        <x:v>pending</x:v>
      </x:c>
    </x:row>
    <x:row r="11" ht="74" customHeight="1">
      <x:c r="A11" s="38" t="str">
        <x:v>mit60001-q-004|0jljZRnHwOI:semantic_cosine_wp240_v1:32</x:v>
      </x:c>
      <x:c r="B11" s="38" t="str">
        <x:v>mit60001-q-004</x:v>
      </x:c>
      <x:c r="C11" s="38" t="str">
        <x:v>evaluated_37</x:v>
      </x:c>
      <x:c r="D11" s="38" t="str">
        <x:v>What is the difference between assignment (=) and equality (==) in Python?</x:v>
      </x:c>
      <x:c r="E11" s="38" t="str">
        <x:v>- The single equals sign assigns a value to a variable.
- The double equals sign tests whether two values are equal and produces a Boolean result.</x:v>
      </x:c>
      <x:c r="F11" s="38" t="str">
        <x:v>candidate_v2_e2</x:v>
      </x:c>
      <x:c r="G11" s="38" t="str">
        <x:v>False</x:v>
      </x:c>
      <x:c r="H11" s="38" t="str">
        <x:v>True</x:v>
      </x:c>
      <x:c r="I11" s="38" t="str">
        <x:v>0jljZRnHwOI:semantic_cosine_wp240_v1:32</x:v>
      </x:c>
      <x:c r="J11" s="38" t="str">
        <x:v>3</x:v>
      </x:c>
      <x:c r="K11" s="38" t="str">
        <x:v>Notice you can have
nested conditionals.
So inside this first if,
we have another if here.
And this inner if is only going
to be checked when we enter
the first-- this outter if.
I do want to make
one point, though.
So sometimes, you might forget
to do the double equals sign
when you are checking for
equality, and that's OK.
If you just use one
equals sign, Python's
going to give you an error.
And it's going to
say syntax error,
and it's going to
highlight this line.
And then you're going to know
that there's a mistake there.
And you should be
using equality,
because it doesn't
make sense to be
using-- to assign-- to be making
an assignment inside the if.
So we've learned
about branching.
And we know about conditionals.
Let's try to apply
this to a little game.</x:v>
      </x:c>
      <x:c r="L11" s="38" t="str">
        <x:v>https://www.youtube.com/watch?v=0jljZRnHwOI&amp;t=1513s</x:v>
      </x:c>
      <x:c r="M11" s="38" t="str"/>
      <x:c r="N11" s="38" t="str">
        <x:v>The evidence supports both sides of the question and the requested contrast.</x:v>
      </x:c>
      <x:c r="O11" s="38" t="str"/>
      <x:c r="P11" s="38" t="str"/>
      <x:c r="Q11" s="38" t="str"/>
      <x:c r="R11" s="38" t="str">
        <x:v>pending</x:v>
      </x:c>
    </x:row>
    <x:row r="12" ht="74" customHeight="1">
      <x:c r="A12" s="38" t="str">
        <x:v>mit60001-q-004|nykOeWgQcHM:semantic_cosine_wp240_v1:53</x:v>
      </x:c>
      <x:c r="B12" s="38" t="str">
        <x:v>mit60001-q-004</x:v>
      </x:c>
      <x:c r="C12" s="38" t="str">
        <x:v>evaluated_37</x:v>
      </x:c>
      <x:c r="D12" s="38" t="str">
        <x:v>What is the difference between assignment (=) and equality (==) in Python?</x:v>
      </x:c>
      <x:c r="E12" s="38" t="str">
        <x:v>- The single equals sign assigns a value to a variable.
- The double equals sign tests whether two values are equal and produces a Boolean result.</x:v>
      </x:c>
      <x:c r="F12" s="38" t="str">
        <x:v>current_control_e1</x:v>
      </x:c>
      <x:c r="G12" s="38" t="str">
        <x:v>True</x:v>
      </x:c>
      <x:c r="H12" s="38" t="str">
        <x:v>False</x:v>
      </x:c>
      <x:c r="I12" s="38" t="str">
        <x:v>nykOeWgQcHM:semantic_cosine_wp240_v1:53</x:v>
      </x:c>
      <x:c r="J12" s="38" t="str">
        <x:v>1</x:v>
      </x:c>
      <x:c r="K12" s="38"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c r="L12" s="38" t="str">
        <x:v>https://www.youtube.com/watch?v=nykOeWgQcHM&amp;t=2365s</x:v>
      </x:c>
      <x:c r="M12" s="38" t="str">
        <x:v>The candidate excerpt directly supports the answer that assignment (=) and equality (==) are used differently in Python, with assignment being on the left-hand side and equality on the right-hand side.</x:v>
      </x:c>
      <x:c r="N12" s="38" t="str"/>
      <x:c r="O12" s="38" t="str">
        <x:v>baseline_m3_canonical</x:v>
      </x:c>
      <x:c r="P12" s="38" t="str">
        <x:v>does_not_support</x:v>
      </x:c>
      <x:c r="Q12" s="38" t="str">
        <x:v>Explains single-equals assignment only; it does not provide the == equality/Boolean half required for the requested contrast.</x:v>
      </x:c>
      <x:c r="R12" s="38" t="str">
        <x:v>canonical_reuse</x:v>
      </x:c>
    </x:row>
    <x:row r="13" ht="74" customHeight="1">
      <x:c r="A13" s="38" t="str">
        <x:v>mit60001-q-005|WPSeyjX1-4s:semantic_cosine_wp240_v1:15</x:v>
      </x:c>
      <x:c r="B13" s="38" t="str">
        <x:v>mit60001-q-005</x:v>
      </x:c>
      <x:c r="C13" s="38" t="str">
        <x:v>evaluated_37</x:v>
      </x:c>
      <x:c r="D13" s="38" t="str">
        <x:v>According to the course, why does a recursive function require a base case?</x:v>
      </x:c>
      <x:c r="E13" s="38" t="str">
        <x:v>- A base case gives recursion a directly solvable case and stops the unwinding of recursive calls.
- Having one or more easy base cases prevents infinite recursion.</x:v>
      </x:c>
      <x:c r="F13" s="38" t="str">
        <x:v>candidate_v2_e2
current_control_e1</x:v>
      </x:c>
      <x:c r="G13" s="38" t="str">
        <x:v>True</x:v>
      </x:c>
      <x:c r="H13" s="38" t="str">
        <x:v>True</x:v>
      </x:c>
      <x:c r="I13" s="38" t="str">
        <x:v>WPSeyjX1-4s:semantic_cosine_wp240_v1:15</x:v>
      </x:c>
      <x:c r="J13" s="38" t="str">
        <x:v>3</x:v>
      </x:c>
      <x:c r="K13" s="38" t="str">
        <x:v>Recursive definition that
reduces a problem to a simpler
version of the same problem.
OK, let's look at
another example.
Classic problem in recursion
is to compute factorial,
right? n factorial,
or n bang if you
like, n exclamation point
is n times n minus 1,
all the way down to 1.
So it's the product of
all the integers from 1
up to n assuming n is
a positive integer.
So we can ask the
same question if I
wanted to solve this recursively
what would the base case be?
Well, when n is equal
to 1, it's just 1.
In the recursive case,
will n times n minus 1
all the way down to 1,
that's the same as n times</x:v>
      </x:c>
      <x:c r="L13" s="38" t="str">
        <x:v>https://www.youtube.com/watch?v=WPSeyjX1-4s&amp;t=558s</x:v>
      </x:c>
      <x:c r="M13" s="38" t="str">
        <x:v>The candidate excerpt directly supports the answer that a recursive function requires a base case to avoid infinite recursion.</x:v>
      </x:c>
      <x:c r="N13" s="38" t="str">
        <x:v>The whole question is covered.</x:v>
      </x:c>
      <x:c r="O13" s="38" t="str">
        <x:v>baseline_m3_canonical</x:v>
      </x:c>
      <x:c r="P13" s="38" t="str">
        <x:v>supports</x:v>
      </x:c>
      <x:c r="Q13" s="38" t="str">
        <x:v>Provides a concrete directly solvable factorial base case (n=1), supporting the base-case concept.</x:v>
      </x:c>
      <x:c r="R13" s="38" t="str">
        <x:v>canonical_reuse</x:v>
      </x:c>
    </x:row>
    <x:row r="14" ht="74" customHeight="1">
      <x:c r="A14" s="38" t="str">
        <x:v>mit60001-q-005|WPSeyjX1-4s:semantic_cosine_wp240_v1:8</x:v>
      </x:c>
      <x:c r="B14" s="38" t="str">
        <x:v>mit60001-q-005</x:v>
      </x:c>
      <x:c r="C14" s="38" t="str">
        <x:v>evaluated_37</x:v>
      </x:c>
      <x:c r="D14" s="38" t="str">
        <x:v>According to the course, why does a recursive function require a base case?</x:v>
      </x:c>
      <x:c r="E14" s="38" t="str">
        <x:v>- A base case gives recursion a directly solvable case and stops the unwinding of recursive calls.
- Having one or more easy base cases prevents infinite recursion.</x:v>
      </x:c>
      <x:c r="F14" s="38" t="str">
        <x:v>candidate_v2_e2
current_control_e1</x:v>
      </x:c>
      <x:c r="G14" s="38" t="str">
        <x:v>True</x:v>
      </x:c>
      <x:c r="H14" s="38" t="str">
        <x:v>True</x:v>
      </x:c>
      <x:c r="I14" s="38" t="str">
        <x:v>WPSeyjX1-4s:semantic_cosine_wp240_v1:8</x:v>
      </x:c>
      <x:c r="J14" s="38" t="str">
        <x:v>2</x:v>
      </x:c>
      <x:c r="K14" s="38" t="str">
        <x:v>when I get to something
I can solve directly.
And so what we're going to do
is avoid infinite recursion
by ensuring that we have
at least one or more base
cases that are easy to solve.
And then the basic
idea is I just
want to solve the same
problem on some simpler
input with the idea
of using that solution
to solve the larger problem.
OK, let's look at an
example, and to set
the stage I'm going to go back
to something you've been doing,</x:v>
      </x:c>
      <x:c r="L14" s="38" t="str">
        <x:v>https://www.youtube.com/watch?v=WPSeyjX1-4s&amp;t=308s</x:v>
      </x:c>
      <x:c r="M14" s="38" t="str">
        <x:v>The candidate excerpt directly supports the answer that a recursive function requires a base case to avoid infinite recursion.</x:v>
      </x:c>
      <x:c r="N14" s="38" t="str">
        <x:v>The whole question is covered.</x:v>
      </x:c>
      <x:c r="O14" s="38" t="str">
        <x:v>baseline_m3_canonical</x:v>
      </x:c>
      <x:c r="P14" s="38" t="str">
        <x:v>supports</x:v>
      </x:c>
      <x:c r="Q14" s="38" t="str">
        <x:v>Directly states that easy base cases avoid infinite recursion and are directly solvable.</x:v>
      </x:c>
      <x:c r="R14" s="38" t="str">
        <x:v>canonical_reuse</x:v>
      </x:c>
    </x:row>
    <x:row r="15" ht="74" customHeight="1">
      <x:c r="A15" s="38" t="str">
        <x:v>mit60001-q-006|o9nW0uBqvEo:semantic_cosine_wp240_v1:13</x:v>
      </x:c>
      <x:c r="B15" s="38" t="str">
        <x:v>mit60001-q-006</x:v>
      </x:c>
      <x:c r="C15" s="38" t="str">
        <x:v>evaluated_37</x:v>
      </x:c>
      <x:c r="D15" s="38" t="str">
        <x:v>According to the lecture, how is the efficiency of an algorithm explained?</x:v>
      </x:c>
      <x:c r="E15" s="38" t="str">
        <x:v>- Estimate efficiency by running test cases, timing execution, and observing the result.
- Alternatively count fundamental operations as a function of input size.</x:v>
      </x:c>
      <x:c r="F15" s="38" t="str">
        <x:v>candidate_v2_e2</x:v>
      </x:c>
      <x:c r="G15" s="38" t="str">
        <x:v>False</x:v>
      </x:c>
      <x:c r="H15" s="38" t="str">
        <x:v>True</x:v>
      </x:c>
      <x:c r="I15" s="38" t="str">
        <x:v>o9nW0uBqvEo:semantic_cosine_wp240_v1:13</x:v>
      </x:c>
      <x:c r="J15" s="38" t="str">
        <x:v>2</x:v>
      </x:c>
      <x:c r="K15" s="38" t="str">
        <x:v>There's lots of little choices.
So an algorithm
could be implemented
many different ways.
How do I measure the actual
efficiency of the algorithm?
Second one is I might,
for a given problem,
have different
choices of algorithm.
A recursive solution
versus an iterative one.
Using divide and conquer
versus straightforward search.
We're going to see
some examples of that.
So I've got to somehow
separate those pieces out.
And in particular, I'd
like to separate out
the choice of implementation
from the choice of algorithm.
I want to measure how
hard is the algorithm,
not can I come up
with a slightly more
efficient way of coming
up with an implementation.
So here are three
ways I might do it.
And we're going to look at
each one of them very briefly.
The obvious one is we could
be scientists-- time it.
Write the code, run a bunch
of test case, run a timer,</x:v>
      </x:c>
      <x:c r="L15" s="38" t="str">
        <x:v>https://www.youtube.com/watch?v=o9nW0uBqvEo&amp;t=509s</x:v>
      </x:c>
      <x:c r="M15" s="38" t="str"/>
      <x:c r="N15" s="38" t="str">
        <x:v>The evidence supports the explanation of efficiency in an algorithm, specifically that it can be measured by counting operations and comparing different implementations.</x:v>
      </x:c>
      <x:c r="O15" s="38" t="str"/>
      <x:c r="P15" s="38" t="str"/>
      <x:c r="Q15" s="38" t="str"/>
      <x:c r="R15" s="38" t="str">
        <x:v>pending</x:v>
      </x:c>
    </x:row>
    <x:row r="16" ht="74" customHeight="1">
      <x:c r="A16" s="38" t="str">
        <x:v>mit60001-q-006|o9nW0uBqvEo:semantic_cosine_wp240_v1:14</x:v>
      </x:c>
      <x:c r="B16" s="38" t="str">
        <x:v>mit60001-q-006</x:v>
      </x:c>
      <x:c r="C16" s="38" t="str">
        <x:v>evaluated_37</x:v>
      </x:c>
      <x:c r="D16" s="38" t="str">
        <x:v>According to the lecture, how is the efficiency of an algorithm explained?</x:v>
      </x:c>
      <x:c r="E16" s="38" t="str">
        <x:v>- Estimate efficiency by running test cases, timing execution, and observing the result.
- Alternatively count fundamental operations as a function of input size.</x:v>
      </x:c>
      <x:c r="F16" s="38" t="str">
        <x:v>candidate_v2_e2
current_control_e1</x:v>
      </x:c>
      <x:c r="G16" s="38" t="str">
        <x:v>True</x:v>
      </x:c>
      <x:c r="H16" s="38" t="str">
        <x:v>True</x:v>
      </x:c>
      <x:c r="I16" s="38" t="str">
        <x:v>o9nW0uBqvEo:semantic_cosine_wp240_v1:14</x:v>
      </x:c>
      <x:c r="J16" s="38" t="str">
        <x:v>1</x:v>
      </x:c>
      <x:c r="K16" s="38" t="str">
        <x:v>use that to try and come up with
a way of estimating efficiency.
We'll see some
challenges with that.
Slightly more abstractly,
we could count operations.
We could say here are the set
of fundamental operations--
mathematical operations,
comparisons, setting values,
retrieving values.
And simply say how many
of those operations
do I use in my
algorithm as a function
of the size of the input?
And that could be used to
give us a sense of efficiency.
We're going to see both of
those are flawed somewhat more
in the first case
than the second one.
And so we're going to
abstract that second one
to a more abstract
notion of something
we call an order of growth.
And I'll come back to that
in a couple of minutes.
This is the one we're
going to focus on.
It's one that computer
scientists use.</x:v>
      </x:c>
      <x:c r="L16" s="38" t="str">
        <x:v>https://www.youtube.com/watch?v=o9nW0uBqvEo&amp;t=560s</x:v>
      </x:c>
      <x:c r="M16" s="38" t="str">
        <x:v>The candidate excerpt directly supports the answer that the efficiency of an algorithm is explained by counting operations and saying how many of those operations do I use in my algorithm as a function of the size of the input.</x:v>
      </x:c>
      <x:c r="N16" s="38" t="str">
        <x:v>The evidence supports the explanation of efficiency in an algorithm, specifically that it can be measured by counting operations and comparing different implementations.</x:v>
      </x:c>
      <x:c r="O16" s="38" t="str">
        <x:v>baseline_m3_canonical</x:v>
      </x:c>
      <x:c r="P16" s="38" t="str">
        <x:v>supports</x:v>
      </x:c>
      <x:c r="Q16" s="38" t="str">
        <x:v>Directly describes counting fundamental operations as a function of input size to estimate efficiency.</x:v>
      </x:c>
      <x:c r="R16" s="38" t="str">
        <x:v>canonical_reuse</x:v>
      </x:c>
    </x:row>
    <x:row r="17" ht="74" customHeight="1">
      <x:c r="A17" s="38" t="str">
        <x:v>mit60001-q-007|WPSeyjX1-4s:semantic_cosine_wp240_v1:17</x:v>
      </x:c>
      <x:c r="B17" s="38" t="str">
        <x:v>mit60001-q-007</x:v>
      </x:c>
      <x:c r="C17" s="38" t="str">
        <x:v>evaluated_37</x:v>
      </x:c>
      <x:c r="D17" s="38" t="str">
        <x:v>What value is bound to a name after an assignment statement is evaluated?</x:v>
      </x:c>
      <x:c r="E17" s="38" t="str">
        <x:v>- Assignment binds the value on the right-hand side to the variable name on the left-hand side.
- The binding allows the program to access that value later.</x:v>
      </x:c>
      <x:c r="F17" s="38" t="str">
        <x:v>candidate_v2_e2</x:v>
      </x:c>
      <x:c r="G17" s="38" t="str">
        <x:v>False</x:v>
      </x:c>
      <x:c r="H17" s="38" t="str">
        <x:v>True</x:v>
      </x:c>
      <x:c r="I17" s="38" t="str">
        <x:v>WPSeyjX1-4s:semantic_cosine_wp240_v1:17</x:v>
      </x:c>
      <x:c r="J17" s="38" t="str">
        <x:v>2</x:v>
      </x:c>
      <x:c r="K17" s="38" t="str">
        <x:v>And let's use the tools
that Ana talked about,
in terms of an
environment at a scope,
and think about
what happens here.
So when I read that in or I
evaluate that in Python, it
creates a definition that binds
the name fact to some code,
just all of that stuff
over here plus the name
for the formal parameter, hasn't
done anything with it yet.
And then I'm going to
evaluate print a fact of 4.
Print needs a value, so it has
to get the value of fact of 4,
and we know what that does.</x:v>
      </x:c>
      <x:c r="L17" s="38" t="str">
        <x:v>https://www.youtube.com/watch?v=WPSeyjX1-4s&amp;t=639s</x:v>
      </x:c>
      <x:c r="M17" s="38" t="str"/>
      <x:c r="N17" s="38" t="str">
        <x:v>The evidence supports the requested answer and covers the entire question.</x:v>
      </x:c>
      <x:c r="O17" s="38" t="str"/>
      <x:c r="P17" s="38" t="str"/>
      <x:c r="Q17" s="38" t="str"/>
      <x:c r="R17" s="38" t="str">
        <x:v>pending</x:v>
      </x:c>
    </x:row>
    <x:row r="18" ht="74" customHeight="1">
      <x:c r="A18" s="38" t="str">
        <x:v>mit60001-q-007|nykOeWgQcHM:semantic_cosine_wp240_v1:53</x:v>
      </x:c>
      <x:c r="B18" s="38" t="str">
        <x:v>mit60001-q-007</x:v>
      </x:c>
      <x:c r="C18" s="38" t="str">
        <x:v>evaluated_37</x:v>
      </x:c>
      <x:c r="D18" s="38" t="str">
        <x:v>What value is bound to a name after an assignment statement is evaluated?</x:v>
      </x:c>
      <x:c r="E18" s="38" t="str">
        <x:v>- Assignment binds the value on the right-hand side to the variable name on the left-hand side.
- The binding allows the program to access that value later.</x:v>
      </x:c>
      <x:c r="F18" s="38" t="str">
        <x:v>candidate_v2_e2
current_control_e1</x:v>
      </x:c>
      <x:c r="G18" s="38" t="str">
        <x:v>True</x:v>
      </x:c>
      <x:c r="H18" s="38" t="str">
        <x:v>True</x:v>
      </x:c>
      <x:c r="I18" s="38" t="str">
        <x:v>nykOeWgQcHM:semantic_cosine_wp240_v1:53</x:v>
      </x:c>
      <x:c r="J18" s="38" t="str">
        <x:v>1</x:v>
      </x:c>
      <x:c r="K18" s="38" t="str">
        <x:v>That means always in programming
the right-hand side is
going to be an expression.
It's something that's going
to be evaluated to a value.
And the left-hand side
is always a variable.
It's going to be an assignment.
The equal sign is
not like in math
where you can have a lot
of things to the left
and a lot of things to the
right of the equal sign.
There's only one thing to
the left of the equal sign.
And that's going
to be a variable.
An equal sign stands
for an assignment.
Once we've created expressions,
and we have these assignments,
you can rebind variable
names using new assignment
statements.</x:v>
      </x:c>
      <x:c r="L18" s="38" t="str">
        <x:v>https://www.youtube.com/watch?v=nykOeWgQcHM&amp;t=2365s</x:v>
      </x:c>
      <x:c r="M18" s="38" t="str">
        <x:v>The candidate excerpt directly supports the answer that the value bound to a name after an assignment statement is evaluated.</x:v>
      </x:c>
      <x:c r="N18" s="38" t="str">
        <x:v>The evidence supports the requested answer and covers the entire question.</x:v>
      </x:c>
      <x:c r="O18" s="38" t="str">
        <x:v>baseline_m3_canonical</x:v>
      </x:c>
      <x:c r="P18" s="38" t="str">
        <x:v>supports</x:v>
      </x:c>
      <x:c r="Q18" s="38" t="str">
        <x:v>States that the right-hand expression is evaluated to a value and the left-hand variable is assigned, which supports the assignment-binding semantics despite no GT time overlap.</x:v>
      </x:c>
      <x:c r="R18" s="38" t="str">
        <x:v>canonical_reuse</x:v>
      </x:c>
    </x:row>
    <x:row r="19" ht="74" customHeight="1">
      <x:c r="A19" s="38" t="str">
        <x:v>mit60001-q-007|nykOeWgQcHM:semantic_cosine_wp240_v1:54</x:v>
      </x:c>
      <x:c r="B19" s="38" t="str">
        <x:v>mit60001-q-007</x:v>
      </x:c>
      <x:c r="C19" s="38" t="str">
        <x:v>evaluated_37</x:v>
      </x:c>
      <x:c r="D19" s="38" t="str">
        <x:v>What value is bound to a name after an assignment statement is evaluated?</x:v>
      </x:c>
      <x:c r="E19" s="38" t="str">
        <x:v>- Assignment binds the value on the right-hand side to the variable name on the left-hand side.
- The binding allows the program to access that value later.</x:v>
      </x:c>
      <x:c r="F19" s="38" t="str">
        <x:v>candidate_v2_e2</x:v>
      </x:c>
      <x:c r="G19" s="38" t="str">
        <x:v>False</x:v>
      </x:c>
      <x:c r="H19" s="38" t="str">
        <x:v>True</x:v>
      </x:c>
      <x:c r="I19" s="38" t="str">
        <x:v>nykOeWgQcHM:semantic_cosine_wp240_v1:54</x:v>
      </x:c>
      <x:c r="J19" s="38" t="str">
        <x:v>3</x:v>
      </x:c>
      <x:c r="K19" s="38" t="str">
        <x:v>Let's look at an
example for that.
Let's say this is our memory.
Let's type back in the example
with finding the radius.
Let's say, pi is equal to 3.14.
In memory, we're going to
create this value 3.14.
We're going to bind it
to the variable named pi.
Next line, radius
is equal to 2.2.
In memory, we're
creating this value 2.2.
And we're going to bind it
to the variable named radius.
Then we have this
expression here.
It's going to substitute
the values for pi
from memory and the value
for radius from memory.
It's going to calculate the
value that this expression
evaluates to.
It's going to pop
that into the memory.
And it's going to
assign-- because we're
using the equal
sign-- it's going</x:v>
      </x:c>
      <x:c r="L19" s="38" t="str">
        <x:v>https://www.youtube.com/watch?v=nykOeWgQcHM&amp;t=2403s</x:v>
      </x:c>
      <x:c r="M19" s="38" t="str"/>
      <x:c r="N19" s="38" t="str">
        <x:v>The evidence supports the requested answer and covers the entire question.</x:v>
      </x:c>
      <x:c r="O19" s="38" t="str"/>
      <x:c r="P19" s="38" t="str"/>
      <x:c r="Q19" s="38" t="str"/>
      <x:c r="R19" s="38" t="str">
        <x:v>pending</x:v>
      </x:c>
    </x:row>
    <x:row r="20" ht="74" customHeight="1">
      <x:c r="A20" s="38" t="str">
        <x:v>mit60001-q-008|nykOeWgQcHM:semantic_cosine_wp240_v1:55</x:v>
      </x:c>
      <x:c r="B20" s="38" t="str">
        <x:v>mit60001-q-008</x:v>
      </x:c>
      <x:c r="C20" s="38" t="str">
        <x:v>evaluated_37</x:v>
      </x:c>
      <x:c r="D20" s="38" t="str">
        <x:v>Why can rebinding a variable name leave the previous object unchanged?</x:v>
      </x:c>
      <x:c r="E20" s="38" t="str">
        <x:v>- A variable name is a handle or binding used to access an object.
- Rebinding the name to a new value removes the old binding but does not change the previous object; the old object can remain in memory without that handle.</x:v>
      </x:c>
      <x:c r="F20" s="38" t="str">
        <x:v>candidate_v2_e2
current_control_e1</x:v>
      </x:c>
      <x:c r="G20" s="38" t="str">
        <x:v>True</x:v>
      </x:c>
      <x:c r="H20" s="38" t="str">
        <x:v>True</x:v>
      </x:c>
      <x:c r="I20" s="38" t="str">
        <x:v>nykOeWgQcHM:semantic_cosine_wp240_v1:55</x:v>
      </x:c>
      <x:c r="J20" s="38" t="str">
        <x:v>2</x:v>
      </x:c>
      <x:c r="K20" s="38" t="str">
        <x:v>to assign that value
to that variable area.
Now, let's say we rebind
radius to be something else.
Radius i is bound
to the value 2.2.
But when we do this line, radius
is equal to radius plus 1,
we're going to take
away the binding to 2.2.
We're going to do
this calculation.
The new value is 3.2.
And we're going to rebind that
value to that same variable.
In memory, notice
we're still going
to have this value,
2.2, floating around.
But we've lost
the handle for it.
There's no way to get it back.</x:v>
      </x:c>
      <x:c r="L20" s="38" t="str">
        <x:v>https://www.youtube.com/watch?v=nykOeWgQcHM&amp;t=2461s</x:v>
      </x:c>
      <x:c r="M20" s="38" t="str">
        <x:v>The candidate excerpt directly supports the answer that rebinding a variable name leaves the previous object unchanged. The excerpt states,</x:v>
      </x:c>
      <x:c r="N20" s="38" t="str">
        <x:v>The evidence supports the reason why rebinding a variable name leaves the previous object unchanged.</x:v>
      </x:c>
      <x:c r="O20" s="38" t="str">
        <x:v>baseline_m3_canonical</x:v>
      </x:c>
      <x:c r="P20" s="38" t="str">
        <x:v>supports</x:v>
      </x:c>
      <x:c r="Q20" s="38" t="str">
        <x:v>Directly explains rebinding, loss of the old handle, and persistence of the previous value in memory.</x:v>
      </x:c>
      <x:c r="R20" s="38" t="str">
        <x:v>canonical_reuse</x:v>
      </x:c>
    </x:row>
    <x:row r="21" ht="74" customHeight="1">
      <x:c r="A21" s="38" t="str">
        <x:v>mit60001-q-009|MjbuarJ7SE0:semantic_cosine_wp240_v1:22</x:v>
      </x:c>
      <x:c r="B21" s="38" t="str">
        <x:v>mit60001-q-009</x:v>
      </x:c>
      <x:c r="C21" s="38" t="str">
        <x:v>evaluated_37</x:v>
      </x:c>
      <x:c r="D21" s="38" t="str">
        <x:v>According to the course, how are local variables created and used during a function call?</x:v>
      </x:c>
      <x:c r="E21" s="38" t="str">
        <x:v>- The same variable name can exist in the global scope and in a different scope.
- Within a scope, Python uses that scope's variable names, so names in different scopes do not interfere with one another.</x:v>
      </x:c>
      <x:c r="F21" s="38" t="str">
        <x:v>candidate_v2_e2</x:v>
      </x:c>
      <x:c r="G21" s="38" t="str">
        <x:v>False</x:v>
      </x:c>
      <x:c r="H21" s="38" t="str">
        <x:v>True</x:v>
      </x:c>
      <x:c r="I21" s="38" t="str">
        <x:v>MjbuarJ7SE0:semantic_cosine_wp240_v1:22</x:v>
      </x:c>
      <x:c r="J21" s="38" t="str">
        <x:v>3</x:v>
      </x:c>
      <x:c r="K21" s="38" t="str">
        <x:v>I'm going to create entirely
new set of variables that just
exist within this environment.
I'm going to do
some computations.
When I see the return, I'm going
to take this one return value.
I'm going to exit
that environment,
and then I'm going to come
back to the main program.
So as you're entering
from one scope to another,
you're sort of passing
these values back and forth.
So when you're entering a scope,
you're passing a variable back
into the function.
And when the
function's finished,
you're passing a value
back to whoever called it.
So once again, this top part
is the function definition.
And any arguments for
the function definition
are called formal parameters.
And they're called
formal parameters
because notice they don't
actually have a value yet.
In the function
definition, you're</x:v>
      </x:c>
      <x:c r="L21" s="38" t="str">
        <x:v>https://www.youtube.com/watch?v=MjbuarJ7SE0&amp;t=976s</x:v>
      </x:c>
      <x:c r="M21" s="38" t="str"/>
      <x:c r="N21" s="38" t="str">
        <x:v>The evidence supports the creation and usage of local variables during a function call, including the concept of scopes, global variables, and passing values back and forth between scopes.</x:v>
      </x:c>
      <x:c r="O21" s="38" t="str"/>
      <x:c r="P21" s="38" t="str"/>
      <x:c r="Q21" s="38" t="str"/>
      <x:c r="R21" s="38" t="str">
        <x:v>pending</x:v>
      </x:c>
    </x:row>
    <x:row r="22" ht="74" customHeight="1">
      <x:c r="A22" s="38" t="str">
        <x:v>mit60001-q-009|MjbuarJ7SE0:semantic_cosine_wp240_v1:41</x:v>
      </x:c>
      <x:c r="B22" s="38" t="str">
        <x:v>mit60001-q-009</x:v>
      </x:c>
      <x:c r="C22" s="38" t="str">
        <x:v>evaluated_37</x:v>
      </x:c>
      <x:c r="D22" s="38" t="str">
        <x:v>According to the course, how are local variables created and used during a function call?</x:v>
      </x:c>
      <x:c r="E22" s="38" t="str">
        <x:v>- The same variable name can exist in the global scope and in a different scope.
- Within a scope, Python uses that scope's variable names, so names in different scopes do not interfere with one another.</x:v>
      </x:c>
      <x:c r="F22" s="38" t="str">
        <x:v>candidate_v2_e2</x:v>
      </x:c>
      <x:c r="G22" s="38" t="str">
        <x:v>False</x:v>
      </x:c>
      <x:c r="H22" s="38" t="str">
        <x:v>True</x:v>
      </x:c>
      <x:c r="I22" s="38" t="str">
        <x:v>MjbuarJ7SE0:semantic_cosine_wp240_v1:41</x:v>
      </x:c>
      <x:c r="J22" s="38" t="str">
        <x:v>1</x:v>
      </x:c>
      <x:c r="K22" s="38" t="str">
        <x:v>what happens with variable
names and formal parameters
and actual parameters.
That's why I highly recommend
pieces of paper and pens.
One last thing I want
to mention about scope
before we do another example.
So there are three
sort of situations
you might find yourself in.
The first one is probably
the most typical,
and this is when you
define a function.
And it's using a
variable named x
in this case that's also
defined outside of the function.
And that doesn't matter
because of the idea of scopes.
So inside the global scope,
you can have variables x.
When you're inside
a different scope,
you can have whatever
variable names you want.
And when you're
inside that scope,</x:v>
      </x:c>
      <x:c r="L22" s="38" t="str">
        <x:v>https://www.youtube.com/watch?v=MjbuarJ7SE0&amp;t=1837s</x:v>
      </x:c>
      <x:c r="M22" s="38" t="str"/>
      <x:c r="N22" s="38" t="str">
        <x:v>The evidence supports the creation and usage of local variables during a function call, including the concept of scopes, global variables, and passing values back and forth between scopes.</x:v>
      </x:c>
      <x:c r="O22" s="38" t="str"/>
      <x:c r="P22" s="38" t="str"/>
      <x:c r="Q22" s="38" t="str"/>
      <x:c r="R22" s="38" t="str">
        <x:v>pending</x:v>
      </x:c>
    </x:row>
    <x:row r="23" ht="74" customHeight="1">
      <x:c r="A23" s="38" t="str">
        <x:v>mit60001-q-009|MjbuarJ7SE0:semantic_cosine_wp240_v1:45</x:v>
      </x:c>
      <x:c r="B23" s="38" t="str">
        <x:v>mit60001-q-009</x:v>
      </x:c>
      <x:c r="C23" s="38" t="str">
        <x:v>evaluated_37</x:v>
      </x:c>
      <x:c r="D23" s="38" t="str">
        <x:v>According to the course, how are local variables created and used during a function call?</x:v>
      </x:c>
      <x:c r="E23" s="38" t="str">
        <x:v>- The same variable name can exist in the global scope and in a different scope.
- Within a scope, Python uses that scope's variable names, so names in different scopes do not interfere with one another.</x:v>
      </x:c>
      <x:c r="F23" s="38" t="str">
        <x:v>candidate_v2_e2</x:v>
      </x:c>
      <x:c r="G23" s="38" t="str">
        <x:v>False</x:v>
      </x:c>
      <x:c r="H23" s="38" t="str">
        <x:v>True</x:v>
      </x:c>
      <x:c r="I23" s="38" t="str">
        <x:v>MjbuarJ7SE0:semantic_cosine_wp240_v1:45</x:v>
      </x:c>
      <x:c r="J23" s="38" t="str">
        <x:v>2</x:v>
      </x:c>
      <x:c r="K23" s="38" t="str">
        <x:v>though global variables
are part of the readings
for this lecture.
And the reason why
it's not a great idea
to use global variables is
because global variables
sort of give you this
loophole around scopes,
so it allows you to write code
that can become very messy.
So using global variables,
you can be inside a function
and then modify a
variable that's defined
outside of your function.
And that sort of defeats
the purpose of functions
and using them in writing
these coherent modules that
are separate.
That said, it might sometimes be
useful to use global variables,</x:v>
      </x:c>
      <x:c r="L23" s="38" t="str">
        <x:v>https://www.youtube.com/watch?v=MjbuarJ7SE0&amp;t=2004s</x:v>
      </x:c>
      <x:c r="M23" s="38" t="str"/>
      <x:c r="N23" s="38" t="str">
        <x:v>The evidence supports the creation and usage of local variables during a function call, including the concept of scopes, global variables, and passing values back and forth between scopes.</x:v>
      </x:c>
      <x:c r="O23" s="38" t="str"/>
      <x:c r="P23" s="38" t="str"/>
      <x:c r="Q23" s="38" t="str"/>
      <x:c r="R23" s="38" t="str">
        <x:v>pending</x:v>
      </x:c>
    </x:row>
    <x:row r="24" ht="74" customHeight="1">
      <x:c r="A24" s="38" t="str">
        <x:v>mit60001-q-010|RvRKT-jXvko:semantic_cosine_wp240_v1:2</x:v>
      </x:c>
      <x:c r="B24" s="38" t="str">
        <x:v>mit60001-q-010</x:v>
      </x:c>
      <x:c r="C24" s="38" t="str">
        <x:v>evaluated_37</x:v>
      </x:c>
      <x:c r="D24" s="38" t="str">
        <x:v>What is the difference between mutable and immutable objects?</x:v>
      </x:c>
      <x:c r="E24" s="38" t="str">
        <x:v>- Tuples are immutable, whereas lists are mutable.
- Lists and tuples can contain elements of any type, but lists use square brackets and tuples use parentheses.</x:v>
      </x:c>
      <x:c r="F24" s="38" t="str">
        <x:v>candidate_v2_e2</x:v>
      </x:c>
      <x:c r="G24" s="38" t="str">
        <x:v>False</x:v>
      </x:c>
      <x:c r="H24" s="38" t="str">
        <x:v>True</x:v>
      </x:c>
      <x:c r="I24" s="38" t="str">
        <x:v>RvRKT-jXvko:semantic_cosine_wp240_v1:2</x:v>
      </x:c>
      <x:c r="J24" s="38" t="str">
        <x:v>1</x:v>
      </x:c>
      <x:c r="K24" s="38" t="str">
        <x:v>All right.
So let's go right into tuples.
So if you recall
strings, strings
were sequences of characters.
Tuples are going to be similar
to strings in that they're
going to be sequences
of something,
except that tuples aren't
just sequences of characters,
they can be sequences
of anything.
They're a collection
of data where
that data can be of any type.
So a tuple can contain
elements that are integers,
floats, strings, and so on.
Tuples are immutable.</x:v>
      </x:c>
      <x:c r="L24" s="38" t="str">
        <x:v>https://www.youtube.com/watch?v=RvRKT-jXvko&amp;t=98s</x:v>
      </x:c>
      <x:c r="M24" s="38" t="str"/>
      <x:c r="N24" s="38" t="str">
        <x:v>The evidence supports both sides of the question and the requested contrast.</x:v>
      </x:c>
      <x:c r="O24" s="38" t="str"/>
      <x:c r="P24" s="38" t="str"/>
      <x:c r="Q24" s="38" t="str"/>
      <x:c r="R24" s="38" t="str">
        <x:v>pending</x:v>
      </x:c>
    </x:row>
    <x:row r="25" ht="74" customHeight="1">
      <x:c r="A25" s="38" t="str">
        <x:v>mit60001-q-010|RvRKT-jXvko:semantic_cosine_wp240_v1:43</x:v>
      </x:c>
      <x:c r="B25" s="38" t="str">
        <x:v>mit60001-q-010</x:v>
      </x:c>
      <x:c r="C25" s="38" t="str">
        <x:v>evaluated_37</x:v>
      </x:c>
      <x:c r="D25" s="38" t="str">
        <x:v>What is the difference between mutable and immutable objects?</x:v>
      </x:c>
      <x:c r="E25" s="38" t="str">
        <x:v>- Tuples are immutable, whereas lists are mutable.
- Lists and tuples can contain elements of any type, but lists use square brackets and tuples use parentheses.</x:v>
      </x:c>
      <x:c r="F25" s="38" t="str">
        <x:v>candidate_v2_e2
current_control_e1</x:v>
      </x:c>
      <x:c r="G25" s="38" t="str">
        <x:v>True</x:v>
      </x:c>
      <x:c r="H25" s="38" t="str">
        <x:v>True</x:v>
      </x:c>
      <x:c r="I25" s="38" t="str">
        <x:v>RvRKT-jXvko:semantic_cosine_wp240_v1:43</x:v>
      </x:c>
      <x:c r="J25" s="38" t="str">
        <x:v>3</x:v>
      </x:c>
      <x:c r="K25" s="38" t="str">
        <x:v>So the last one is the first
one, the second to last one
is the second one, and so on.
So lists are mutable.
We've said that so many
times this lecture.
But what exactly does that mean?
What implications
does that have?
Once again, this next part
of the lecture, Python tutor.
Just paste all the code
in and go step by step
to see exactly what's happening.
So lists are mutable.
As you have variable
names-- so for example,
L is equal to some
list-- that L is
going to be pointing
to the list in memory.
And since it's a mutable
object, this list,
you can have more
than one variable
that points to the exact
same object in memory.
And if you have more
than one variable that
points to the same
object in memory,
if that object in
memory is changed, then
when you access it through
any one of these variables,</x:v>
      </x:c>
      <x:c r="L25" s="38" t="str">
        <x:v>https://www.youtube.com/watch?v=RvRKT-jXvko&amp;t=1818s</x:v>
      </x:c>
      <x:c r="M25" s="38" t="str">
        <x:v>The candidate excerpt directly supports the answer that lists are mutable, as stated in the chunk_id 'RvRKT-jXvko:semantic_cosine_wp240_v1:43' and 'RvRKT-jXvko:semantic_cosine_wp240_v1:43'.</x:v>
      </x:c>
      <x:c r="N25" s="38" t="str">
        <x:v>The evidence supports both sides of the question and the requested contrast.</x:v>
      </x:c>
      <x:c r="O25" s="38" t="str">
        <x:v>baseline_m3_canonical</x:v>
      </x:c>
      <x:c r="P25" s="38" t="str">
        <x:v>does_not_support</x:v>
      </x:c>
      <x:c r="Q25" s="38" t="str">
        <x:v>Establishes that lists are mutable but does not contrast tuples as immutable or give the tuple/list syntax differences required by the expected answer.</x:v>
      </x:c>
      <x:c r="R25" s="38" t="str">
        <x:v>canonical_reuse</x:v>
      </x:c>
    </x:row>
    <x:row r="26" ht="74" customHeight="1">
      <x:c r="A26" s="38" t="str">
        <x:v>mit60001-q-010|RvRKT-jXvko:semantic_cosine_wp240_v1:48</x:v>
      </x:c>
      <x:c r="B26" s="38" t="str">
        <x:v>mit60001-q-010</x:v>
      </x:c>
      <x:c r="C26" s="38" t="str">
        <x:v>evaluated_37</x:v>
      </x:c>
      <x:c r="D26" s="38" t="str">
        <x:v>What is the difference between mutable and immutable objects?</x:v>
      </x:c>
      <x:c r="E26" s="38" t="str">
        <x:v>- Tuples are immutable, whereas lists are mutable.
- Lists and tuples can contain elements of any type, but lists use square brackets and tuples use parentheses.</x:v>
      </x:c>
      <x:c r="F26" s="38" t="str">
        <x:v>candidate_v2_e2</x:v>
      </x:c>
      <x:c r="G26" s="38" t="str">
        <x:v>False</x:v>
      </x:c>
      <x:c r="H26" s="38" t="str">
        <x:v>True</x:v>
      </x:c>
      <x:c r="I26" s="38" t="str">
        <x:v>RvRKT-jXvko:semantic_cosine_wp240_v1:48</x:v>
      </x:c>
      <x:c r="J26" s="38" t="str">
        <x:v>2</x:v>
      </x:c>
      <x:c r="K26" s="38" t="str">
        <x:v>but this I basically
copied and pasted
from the Python
tutor, which is just
from the code from
today's lecture.
So I have these
lines of code here.
The first couple of
lines really just
show what happens
when you're dealing
with non-mutable objects.
So with non-mutable
objects, you have
two separate objects that
get their own values,
and that's it.
End of story.
With lists, however,
there's something different
that happens.</x:v>
      </x:c>
      <x:c r="L26" s="38" t="str">
        <x:v>https://www.youtube.com/watch?v=RvRKT-jXvko&amp;t=2033s</x:v>
      </x:c>
      <x:c r="M26" s="38" t="str"/>
      <x:c r="N26" s="38" t="str">
        <x:v>The evidence supports both sides of the question and the requested contrast.</x:v>
      </x:c>
      <x:c r="O26" s="38" t="str"/>
      <x:c r="P26" s="38" t="str"/>
      <x:c r="Q26" s="38" t="str"/>
      <x:c r="R26" s="38" t="str">
        <x:v>pending</x:v>
      </x:c>
    </x:row>
    <x:row r="27" ht="74" customHeight="1">
      <x:c r="A27" s="38" t="str">
        <x:v>mit60001-q-014|RvRKT-jXvko:semantic_cosine_wp240_v1:24</x:v>
      </x:c>
      <x:c r="B27" s="38" t="str">
        <x:v>mit60001-q-014</x:v>
      </x:c>
      <x:c r="C27" s="38" t="str">
        <x:v>evaluated_37</x:v>
      </x:c>
      <x:c r="D27" s="38" t="str">
        <x:v>What is the difference between a Python list and a dictionary?</x:v>
      </x:c>
      <x:c r="E27" s="38" t="str">
        <x:v>- A list is an ordered sequence accessed by integer index.
- A dictionary maps keys to values and is accessed by the appropriate key.
- Dictionary keys must be immutable.</x:v>
      </x:c>
      <x:c r="F27" s="38" t="str">
        <x:v>current_control_e1</x:v>
      </x:c>
      <x:c r="G27" s="38" t="str">
        <x:v>True</x:v>
      </x:c>
      <x:c r="H27" s="38" t="str">
        <x:v>False</x:v>
      </x:c>
      <x:c r="I27" s="38" t="str">
        <x:v>RvRKT-jXvko:semantic_cosine_wp240_v1:24</x:v>
      </x:c>
      <x:c r="J27" s="38" t="str">
        <x:v>3</x:v>
      </x:c>
      <x:c r="K27" s="38" t="str">
        <x:v>So this-- Python just replaces
i with 2 here and says,
what's l at position 1?
And then grabs
that from in there.
OK.
So very, very similar to
the kinds of operations
we've seen on
strings and tuples.
The one difference,
and that's what
we're going to focus on
for the rest of this class,
is that lists are
mutable objects.
So what does that
mean internally?
Internally, that means
let's say we have a list l,
and we assign it-- sorry.
Let's say we have a variable l
that's going to point to a list
with three elements,
2, 1, and 3.
OK.
They're all-- each
element is an integer.</x:v>
      </x:c>
      <x:c r="L27" s="38" t="str">
        <x:v>https://www.youtube.com/watch?v=RvRKT-jXvko&amp;t=1009s</x:v>
      </x:c>
      <x:c r="M27" s="38" t="str">
        <x:v>The candidate excerpt directly supports the answer that lists are mutable objects.</x:v>
      </x:c>
      <x:c r="N27" s="38" t="str"/>
      <x:c r="O27" s="38" t="str">
        <x:v>baseline_m3_canonical</x:v>
      </x:c>
      <x:c r="P27" s="38" t="str">
        <x:v>does_not_support</x:v>
      </x:c>
      <x:c r="Q27" s="38" t="str">
        <x:v>Shows list indexing and list mutability only; it does not provide the dictionary key-value side of the requested distinction.</x:v>
      </x:c>
      <x:c r="R27" s="38" t="str">
        <x:v>canonical_reuse</x:v>
      </x:c>
    </x:row>
    <x:row r="28" ht="74" customHeight="1">
      <x:c r="A28" s="38" t="str">
        <x:v>mit60001-q-015|nykOeWgQcHM:semantic_cosine_wp240_v1:39</x:v>
      </x:c>
      <x:c r="B28" s="38" t="str">
        <x:v>mit60001-q-015</x:v>
      </x:c>
      <x:c r="C28" s="38" t="str">
        <x:v>evaluated_37</x:v>
      </x:c>
      <x:c r="D28" s="38" t="str">
        <x:v>According to the course, how is using the shell different from using the editor?</x:v>
      </x:c>
      <x:c r="E28" s="38" t="str">
        <x:v>- The shell lets a user type and execute simple commands directly, typically to test something quickly.
- The editor is used to write multiple lines and more complicated programs, which can then be run.</x:v>
      </x:c>
      <x:c r="F28" s="38" t="str">
        <x:v>candidate_v2_e2
current_control_e1</x:v>
      </x:c>
      <x:c r="G28" s="38" t="str">
        <x:v>True</x:v>
      </x:c>
      <x:c r="H28" s="38" t="str">
        <x:v>True</x:v>
      </x:c>
      <x:c r="I28" s="38" t="str">
        <x:v>nykOeWgQcHM:semantic_cosine_wp240_v1:39</x:v>
      </x:c>
      <x:c r="J28" s="38" t="str">
        <x:v>1</x:v>
      </x:c>
      <x:c r="K28" s="38" t="str">
        <x:v>you write very simple
commands just if you're
testing something out.
And on the left-hand
side here in the editor,
you write more lines and
more complicated programs.
Now we're going to start
talking about Python.
And in Python, we're going
to come back to this,
everything is an object.
And Python programs
manipulate these data objects.
All objects in Python
are going to have a type.
And the type is going to tell
Python the kinds of operations
that you can do
on these objects.
If an object is the
number five, for example,
you can add the number
to another number,
subtract the number, take it
to the power of something,
and so on.
As a more general example,
for example, I am a human.</x:v>
      </x:c>
      <x:c r="L28" s="38" t="str">
        <x:v>https://www.youtube.com/watch?v=nykOeWgQcHM&amp;t=1739s</x:v>
      </x:c>
      <x:c r="M28" s="38" t="str">
        <x:v>The candidate excerpt directly supports the answer that using the shell is different from using the editor in that shell commands are simple and used for testing, while editor commands are more lines and complicated programs.</x:v>
      </x:c>
      <x:c r="N28" s="38" t="str">
        <x:v>The evidence supports both sides of the comparison and the requested contrast.</x:v>
      </x:c>
      <x:c r="O28" s="38" t="str">
        <x:v>baseline_m3_canonical</x:v>
      </x:c>
      <x:c r="P28" s="38" t="str">
        <x:v>supports</x:v>
      </x:c>
      <x:c r="Q28" s="38" t="str">
        <x:v>Directly contrasts simple commands in the shell with longer, more complicated programs in the editor.</x:v>
      </x:c>
      <x:c r="R28" s="38" t="str">
        <x:v>canonical_reuse</x:v>
      </x:c>
    </x:row>
    <x:row r="29" ht="74" customHeight="1">
      <x:c r="A29" s="38" t="str">
        <x:v>mit60001-q-015|nykOeWgQcHM:semantic_cosine_wp240_v1:44</x:v>
      </x:c>
      <x:c r="B29" s="38" t="str">
        <x:v>mit60001-q-015</x:v>
      </x:c>
      <x:c r="C29" s="38" t="str">
        <x:v>evaluated_37</x:v>
      </x:c>
      <x:c r="D29" s="38" t="str">
        <x:v>According to the course, how is using the shell different from using the editor?</x:v>
      </x:c>
      <x:c r="E29" s="38" t="str">
        <x:v>- The shell lets a user type and execute simple commands directly, typically to test something quickly.
- The editor is used to write multiple lines and more complicated programs, which can then be run.</x:v>
      </x:c>
      <x:c r="F29" s="38" t="str">
        <x:v>candidate_v2_e2</x:v>
      </x:c>
      <x:c r="G29" s="38" t="str">
        <x:v>False</x:v>
      </x:c>
      <x:c r="H29" s="38" t="str">
        <x:v>True</x:v>
      </x:c>
      <x:c r="I29" s="38" t="str">
        <x:v>nykOeWgQcHM:semantic_cosine_wp240_v1:44</x:v>
      </x:c>
      <x:c r="J29" s="38" t="str">
        <x:v>3</x:v>
      </x:c>
      <x:c r="K29" s="38" t="str">
        <x:v>But if you'd like if
you have the slides up,
go to go to this exercise.
And after I'm done
talking about the slide,
we'll see what people
think for that exercise.
One of the most
important things that you
can do in basically
any programming,
in Python also, is
to print things out.
Printing out is how you
interact with the user.
To print things out, you
use the print command.
If you're in the shell, if
you simply type "3 plus 2,"
you do see a value here.
Five, right?
But that's not actually
printing something out.
And that becomes apparent
when you actually
type things into the editor.
If you just do "3 plus 2," and
you run the program-- that's</x:v>
      </x:c>
      <x:c r="L29" s="38" t="str">
        <x:v>https://www.youtube.com/watch?v=nykOeWgQcHM&amp;t=1951s</x:v>
      </x:c>
      <x:c r="M29" s="38" t="str"/>
      <x:c r="N29" s="38" t="str">
        <x:v>The evidence supports both sides of the comparison and the requested contrast.</x:v>
      </x:c>
      <x:c r="O29" s="38" t="str"/>
      <x:c r="P29" s="38" t="str"/>
      <x:c r="Q29" s="38" t="str"/>
      <x:c r="R29" s="38" t="str">
        <x:v>pending</x:v>
      </x:c>
    </x:row>
    <x:row r="30" ht="74" customHeight="1">
      <x:c r="A30" s="38" t="str">
        <x:v>mit60001-q-016|9H6muyZjms0:semantic_cosine_wp240_v1:51</x:v>
      </x:c>
      <x:c r="B30" s="38" t="str">
        <x:v>mit60001-q-016</x:v>
      </x:c>
      <x:c r="C30" s="38" t="str">
        <x:v>evaluated_37</x:v>
      </x:c>
      <x:c r="D30" s="38" t="str">
        <x:v>According to the course, what does an assertion check in a program?</x:v>
      </x:c>
      <x:c r="E30" s="38" t="str">
        <x:v>- Assertions check that assumptions about a computation match what a function expects.
- They can enforce function preconditions or postconditions, including input type and value conditions.
- When an assertion is false, Python raises an assertion error and the function stops immediately.</x:v>
      </x:c>
      <x:c r="F30" s="38" t="str">
        <x:v>candidate_v2_e2
current_control_e1</x:v>
      </x:c>
      <x:c r="G30" s="38" t="str">
        <x:v>True</x:v>
      </x:c>
      <x:c r="H30" s="38" t="str">
        <x:v>True</x:v>
      </x:c>
      <x:c r="I30" s="38" t="str">
        <x:v>9H6muyZjms0:semantic_cosine_wp240_v1:51</x:v>
      </x:c>
      <x:c r="J30" s="38" t="str">
        <x:v>1</x:v>
      </x:c>
      <x:c r="K30" s="38"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c r="L30" s="38" t="str">
        <x:v>https://www.youtube.com/watch?v=9H6muyZjms0&amp;t=2375s</x:v>
      </x:c>
      <x:c r="M30" s="38" t="str">
        <x:v>The candidate excerpt directly supports the answer that an assertion check in a program prevents the program from propagating bad values.</x:v>
      </x:c>
      <x:c r="N30" s="38" t="str">
        <x:v>The evidence supports the entire question and covers all essential parts.</x:v>
      </x:c>
      <x:c r="O30" s="38" t="str">
        <x:v>baseline_m3_canonical</x:v>
      </x:c>
      <x:c r="P30" s="38" t="str">
        <x:v>supports</x:v>
      </x:c>
      <x:c r="Q30" s="38" t="str">
        <x:v>Directly explains assertion pre/postconditions and immediate termination when an assertion is false.</x:v>
      </x:c>
      <x:c r="R30" s="38" t="str">
        <x:v>canonical_reuse</x:v>
      </x:c>
    </x:row>
    <x:row r="31" ht="74" customHeight="1">
      <x:c r="A31" s="38" t="str">
        <x:v>mit60001-q-017|9H6muyZjms0:semantic_cosine_wp240_v1:31</x:v>
      </x:c>
      <x:c r="B31" s="38" t="str">
        <x:v>mit60001-q-017</x:v>
      </x:c>
      <x:c r="C31" s="38" t="str">
        <x:v>excluded_existing</x:v>
      </x:c>
      <x:c r="D31" s="38" t="str">
        <x:v>What does the course say is the purpose of exception handling?</x:v>
      </x:c>
      <x:c r="E31" s="38" t="str">
        <x:v>- Exception handling catches an error that would otherwise raise an exception and interrupt normal execution.
- It lets the programmer respond in a controlled way, such as printing a clearer message for bad user input.
- A programmer can also raise an exception deliberately to signal an error condition and direct later control flow.</x:v>
      </x:c>
      <x:c r="F31" s="38" t="str">
        <x:v>candidate_v2_e2
current_control_e1</x:v>
      </x:c>
      <x:c r="G31" s="38" t="str">
        <x:v>True</x:v>
      </x:c>
      <x:c r="H31" s="38" t="str">
        <x:v>True</x:v>
      </x:c>
      <x:c r="I31" s="38" t="str">
        <x:v>9H6muyZjms0:semantic_cosine_wp240_v1:31</x:v>
      </x:c>
      <x:c r="J31" s="38" t="str">
        <x:v>1</x:v>
      </x:c>
      <x:c r="K31" s="38"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c r="L31" s="38" t="str">
        <x:v>https://www.youtube.com/watch?v=9H6muyZjms0&amp;t=1286s</x:v>
      </x:c>
      <x:c r="M31" s="38" t="str">
        <x:v>The candidate excerpt directly supports the answer that exception handling is used for testing and debugging.</x:v>
      </x:c>
      <x:c r="N31" s="38" t="str">
        <x:v>The evidence supports the purpose of exception handling as related to testing and debugging.</x:v>
      </x:c>
      <x:c r="O31" s="38" t="str">
        <x:v>baseline_m3_canonical</x:v>
      </x:c>
      <x:c r="P31" s="38" t="str">
        <x:v>does_not_support</x:v>
      </x:c>
      <x:c r="Q31" s="38" t="str">
        <x:v>Defines exceptions and program stopping, but does not explain the purpose of exception handling or a controlled handler response.</x:v>
      </x:c>
      <x:c r="R31" s="38" t="str">
        <x:v>canonical_reuse</x:v>
      </x:c>
    </x:row>
    <x:row r="32" ht="74" customHeight="1">
      <x:c r="A32" s="38" t="str">
        <x:v>mit60001-q-018|9H6muyZjms0:semantic_cosine_wp240_v1:13</x:v>
      </x:c>
      <x:c r="B32" s="38" t="str">
        <x:v>mit60001-q-018</x:v>
      </x:c>
      <x:c r="C32" s="38" t="str">
        <x:v>evaluated_37</x:v>
      </x:c>
      <x:c r="D32" s="38" t="str">
        <x:v>What does black-box testing examine according to the course?</x:v>
      </x:c>
      <x:c r="E32" s="38" t="str">
        <x:v>- Black-box testing derives test cases from the function specification or docstring without examining the implementation code.</x:v>
      </x:c>
      <x:c r="F32" s="38" t="str">
        <x:v>candidate_v2_e2
current_control_e1</x:v>
      </x:c>
      <x:c r="G32" s="38" t="str">
        <x:v>True</x:v>
      </x:c>
      <x:c r="H32" s="38" t="str">
        <x:v>True</x:v>
      </x:c>
      <x:c r="I32" s="38" t="str">
        <x:v>9H6muyZjms0:semantic_cosine_wp240_v1:13</x:v>
      </x:c>
      <x:c r="J32" s="38" t="str">
        <x:v>2</x:v>
      </x:c>
      <x:c r="K32" s="38"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c r="L32" s="38" t="str">
        <x:v>https://www.youtube.com/watch?v=9H6muyZjms0&amp;t=511s</x:v>
      </x:c>
      <x:c r="M32" s="38" t="str">
        <x:v>The excerpt directly supports the answer that black-box testing examines the specifications of a function.</x:v>
      </x:c>
      <x:c r="N32" s="38" t="str">
        <x:v>The evidence supports the requested answer and covers the entire question.</x:v>
      </x:c>
      <x:c r="O32" s="38" t="str">
        <x:v>baseline_m3_canonical</x:v>
      </x:c>
      <x:c r="P32" s="38" t="str">
        <x:v>supports</x:v>
      </x:c>
      <x:c r="Q32" s="38" t="str">
        <x:v>Directly says black-box tests are derived from the specification/docstring rather than implementation code.</x:v>
      </x:c>
      <x:c r="R32" s="38" t="str">
        <x:v>canonical_reuse</x:v>
      </x:c>
    </x:row>
    <x:row r="33" ht="74" customHeight="1">
      <x:c r="A33" s="38" t="str">
        <x:v>mit60001-q-018|9H6muyZjms0:semantic_cosine_wp240_v1:14</x:v>
      </x:c>
      <x:c r="B33" s="38" t="str">
        <x:v>mit60001-q-018</x:v>
      </x:c>
      <x:c r="C33" s="38" t="str">
        <x:v>evaluated_37</x:v>
      </x:c>
      <x:c r="D33" s="38" t="str">
        <x:v>What does black-box testing examine according to the course?</x:v>
      </x:c>
      <x:c r="E33" s="38" t="str">
        <x:v>- Black-box testing derives test cases from the function specification or docstring without examining the implementation code.</x:v>
      </x:c>
      <x:c r="F33" s="38" t="str">
        <x:v>candidate_v2_e2</x:v>
      </x:c>
      <x:c r="G33" s="38" t="str">
        <x:v>False</x:v>
      </x:c>
      <x:c r="H33" s="38" t="str">
        <x:v>True</x:v>
      </x:c>
      <x:c r="I33" s="38" t="str">
        <x:v>9H6muyZjms0:semantic_cosine_wp240_v1:14</x:v>
      </x:c>
      <x:c r="J33" s="38" t="str">
        <x:v>3</x:v>
      </x:c>
      <x:c r="K33" s="38" t="str">
        <x:v>And the idea here,
notice I don't actually
give you how this
function's implemented.
The idea is that you're
just figuring out test cases
based on the specification.
And the great thing
about black box testing
is that whoever implements
this function can implement it
in whatever way they wish, they
can use approximation method,
that can use bisection
method, it doesn't matter.
The test cases that you come
up with for this function
are going to be
exactly the same.
Right?
No matter what the
implementation.
So for this particular
function, here's a sample set.
We check the boundary,
we check perfect squares,
we can check some number
that's less than 1,
we can check maybe irrationals,
and then you do extreme tests.
So when either epsilon is
really large or epsilon
is really small, or x is really
large or x is really small,</x:v>
      </x:c>
      <x:c r="L33" s="38" t="str">
        <x:v>https://www.youtube.com/watch?v=9H6muyZjms0&amp;t=556s</x:v>
      </x:c>
      <x:c r="M33" s="38" t="str"/>
      <x:c r="N33" s="38" t="str">
        <x:v>The evidence supports the requested answer and covers the entire question.</x:v>
      </x:c>
      <x:c r="O33" s="38" t="str"/>
      <x:c r="P33" s="38" t="str"/>
      <x:c r="Q33" s="38" t="str"/>
      <x:c r="R33" s="38" t="str">
        <x:v>pending</x:v>
      </x:c>
    </x:row>
    <x:row r="34" ht="74" customHeight="1">
      <x:c r="A34" s="38" t="str">
        <x:v>mit60001-q-019|6LOwPhPDwVc:semantic_cosine_wp240_v1:2</x:v>
      </x:c>
      <x:c r="B34" s="38" t="str">
        <x:v>mit60001-q-019</x:v>
      </x:c>
      <x:c r="C34" s="38" t="str">
        <x:v>evaluated_37</x:v>
      </x:c>
      <x:c r="D34" s="38" t="str">
        <x:v>According to the lecture, what is the goal of bisection search?</x:v>
      </x:c>
      <x:c r="E34" s="38" t="str">
        <x:v>- Bisection search is used as a search algorithm for finding an approximation within an implicit numeric collection or range.</x:v>
      </x:c>
      <x:c r="F34" s="38" t="str">
        <x:v>candidate_v2_e2</x:v>
      </x:c>
      <x:c r="G34" s="38" t="str">
        <x:v>False</x:v>
      </x:c>
      <x:c r="H34" s="38" t="str">
        <x:v>True</x:v>
      </x:c>
      <x:c r="I34" s="38" t="str">
        <x:v>6LOwPhPDwVc:semantic_cosine_wp240_v1:2</x:v>
      </x:c>
      <x:c r="J34" s="38" t="str">
        <x:v>1</x:v>
      </x:c>
      <x:c r="K34" s="38" t="str">
        <x:v>It's just a way to find an
item or a group of items
from a collection.
If you think about
it, that collection
could be either
implicit or explicit.
So way back at the
beginning of the term,
we saw an example of
a search algorithm
when you were looking
for square roots.
And we saw simple things
like exhaustive enumeration.
We'd go through all
the possibilities.
We saw our first version
of bisection search
there, where you would
do approximations.
Newton-Raphson-- these are all
examples of a search algorithm
where the collection
is implicit.
So all the numbers between some
point that some other point.
More common is a
search algorithm
where the collection
is explicit.
I don't know.
For example, I've got all
the data records of students
and I want to know how do I
find a particular student,
so I can record that A plus
that everybody in this room</x:v>
      </x:c>
      <x:c r="L34" s="38" t="str">
        <x:v>https://www.youtube.com/watch?v=6LOwPhPDwVc&amp;t=95s</x:v>
      </x:c>
      <x:c r="M34" s="38" t="str"/>
      <x:c r="N34" s="38" t="str">
        <x:v>The whole question is covered.</x:v>
      </x:c>
      <x:c r="O34" s="38" t="str">
        <x:v>baseline_m3_canonical</x:v>
      </x:c>
      <x:c r="P34" s="38" t="str">
        <x:v>supports</x:v>
      </x:c>
      <x:c r="Q34" s="38" t="str">
        <x:v>Directly identifies bisection search as a search algorithm over an implicit numeric collection/range for approximation.</x:v>
      </x:c>
      <x:c r="R34" s="38" t="str">
        <x:v>canonical_reuse</x:v>
      </x:c>
    </x:row>
    <x:row r="35" ht="74" customHeight="1">
      <x:c r="A35" s="38" t="str">
        <x:v>mit60001-q-019|7lQXYl_L28w:semantic_cosine_wp240_v1:13</x:v>
      </x:c>
      <x:c r="B35" s="38" t="str">
        <x:v>mit60001-q-019</x:v>
      </x:c>
      <x:c r="C35" s="38" t="str">
        <x:v>evaluated_37</x:v>
      </x:c>
      <x:c r="D35" s="38" t="str">
        <x:v>According to the lecture, what is the goal of bisection search?</x:v>
      </x:c>
      <x:c r="E35" s="38" t="str">
        <x:v>- Bisection search is used as a search algorithm for finding an approximation within an implicit numeric collection or range.</x:v>
      </x:c>
      <x:c r="F35" s="38" t="str">
        <x:v>candidate_v2_e2</x:v>
      </x:c>
      <x:c r="G35" s="38" t="str">
        <x:v>False</x:v>
      </x:c>
      <x:c r="H35" s="38" t="str">
        <x:v>True</x:v>
      </x:c>
      <x:c r="I35" s="38" t="str">
        <x:v>7lQXYl_L28w:semantic_cosine_wp240_v1:13</x:v>
      </x:c>
      <x:c r="J35" s="38" t="str">
        <x:v>3</x:v>
      </x:c>
      <x:c r="K35" s="38"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c r="L35" s="38" t="str">
        <x:v>https://www.youtube.com/watch?v=7lQXYl_L28w&amp;t=478s</x:v>
      </x:c>
      <x:c r="M35" s="38" t="str"/>
      <x:c r="N35" s="38" t="str">
        <x:v>The whole question is covered.</x:v>
      </x:c>
      <x:c r="O35" s="38" t="str"/>
      <x:c r="P35" s="38" t="str"/>
      <x:c r="Q35" s="38" t="str"/>
      <x:c r="R35" s="38" t="str">
        <x:v>pending</x:v>
      </x:c>
    </x:row>
    <x:row r="36" ht="74" customHeight="1">
      <x:c r="A36" s="38" t="str">
        <x:v>mit60001-q-019|SE4P7IVCunE:semantic_cosine_wp240_v1:53</x:v>
      </x:c>
      <x:c r="B36" s="38" t="str">
        <x:v>mit60001-q-019</x:v>
      </x:c>
      <x:c r="C36" s="38" t="str">
        <x:v>evaluated_37</x:v>
      </x:c>
      <x:c r="D36" s="38" t="str">
        <x:v>According to the lecture, what is the goal of bisection search?</x:v>
      </x:c>
      <x:c r="E36" s="38" t="str">
        <x:v>- Bisection search is used as a search algorithm for finding an approximation within an implicit numeric collection or range.</x:v>
      </x:c>
      <x:c r="F36" s="38" t="str">
        <x:v>candidate_v2_e2</x:v>
      </x:c>
      <x:c r="G36" s="38" t="str">
        <x:v>False</x:v>
      </x:c>
      <x:c r="H36" s="38" t="str">
        <x:v>True</x:v>
      </x:c>
      <x:c r="I36" s="38" t="str">
        <x:v>SE4P7IVCunE:semantic_cosine_wp240_v1:53</x:v>
      </x:c>
      <x:c r="J36" s="38" t="str">
        <x:v>2</x:v>
      </x:c>
      <x:c r="K36" s="38" t="str">
        <x:v>So that's basically what
I'm illustrating here.
So we have our
original search space.
We're going to choose a
guess halfway, eliminate
half of the guesses.
Then we're going look in
the remaining interval,
eliminate half the guesses,
and so on and so on.
So then this is the code
for bisection search.
Also looks intimidating,
but it's not so bad.
So we're initializing a
bunch of stuff up here.
The most important couple
of things we're initializing</x:v>
      </x:c>
      <x:c r="L36" s="38" t="str">
        <x:v>https://www.youtube.com/watch?v=SE4P7IVCunE&amp;t=2389s</x:v>
      </x:c>
      <x:c r="M36" s="38" t="str"/>
      <x:c r="N36" s="38" t="str">
        <x:v>The whole question is covered.</x:v>
      </x:c>
      <x:c r="O36" s="38" t="str"/>
      <x:c r="P36" s="38" t="str"/>
      <x:c r="Q36" s="38" t="str"/>
      <x:c r="R36" s="38" t="str">
        <x:v>pending</x:v>
      </x:c>
    </x:row>
    <x:row r="37" ht="74" customHeight="1">
      <x:c r="A37" s="38" t="str">
        <x:v>mit60001-q-020|SE4P7IVCunE:semantic_cosine_wp240_v1:12</x:v>
      </x:c>
      <x:c r="B37" s="38" t="str">
        <x:v>mit60001-q-020</x:v>
      </x:c>
      <x:c r="C37" s="38" t="str">
        <x:v>evaluated_37</x:v>
      </x:c>
      <x:c r="D37" s="38" t="str">
        <x:v>How does the lecture use len, indexing, and slicing to inspect or extract parts of a string?</x:v>
      </x:c>
      <x:c r="E37" s="38" t="str">
        <x:v>- len returns the number of characters in a string.
- Indexing retrieves the character at a specified position in the string.
- Slicing extracts a substring using start and stop indices and an optional step.</x:v>
      </x:c>
      <x:c r="F37" s="38" t="str">
        <x:v>candidate_v2_e2
current_control_e1</x:v>
      </x:c>
      <x:c r="G37" s="38" t="str">
        <x:v>True</x:v>
      </x:c>
      <x:c r="H37" s="38" t="str">
        <x:v>True</x:v>
      </x:c>
      <x:c r="I37" s="38" t="str">
        <x:v>SE4P7IVCunE:semantic_cosine_wp240_v1:12</x:v>
      </x:c>
      <x:c r="J37" s="38" t="str">
        <x:v>2</x:v>
      </x:c>
      <x:c r="K37" s="38" t="str">
        <x:v>And that's just going to value
it to the string, itself.
It's the same as 0 to the
length s going every step.
This one might
actually be useful.
It reverses the string
automatically for you.
So with this one
little line here,
you can get the
inverse of your string.
And that's equivalent to that.
So the minus 1 represents
starting from the end
and going back every letter.
And then this one's a little
bit more complicated but also
not too bad.
So as we're doing
these string slices,
again, if you're unsure
what something does,
just type it into Spider.
And you might be surprised.</x:v>
      </x:c>
      <x:c r="L37" s="38" t="str">
        <x:v>https://www.youtube.com/watch?v=SE4P7IVCunE&amp;t=592s</x:v>
      </x:c>
      <x:c r="M37" s="38" t="str">
        <x:v>The candidate excerpt directly supports the answer. The chunk_id 'SE4P7IVCunE:semantic_cosine_wp240_v1:12' mentions 'reverses the string automatically for you' which is equivalent to getting the inverse of the string, and the chunk_id 'SE4P7IVCunE:semantic_cosine_wp240_v1:9' explains how slicing works with a start, stop, and step index.</x:v>
      </x:c>
      <x:c r="N37" s="38" t="str">
        <x:v>The evidence supports the requested mechanism or behavior</x:v>
      </x:c>
      <x:c r="O37" s="38" t="str">
        <x:v>baseline_m3_canonical</x:v>
      </x:c>
      <x:c r="P37" s="38" t="str">
        <x:v>supports</x:v>
      </x:c>
      <x:c r="Q37" s="38" t="str">
        <x:v>Valid evidence for the slicing part: shows step-based slicing and reversing a string, though it does not cover len/indexing by itself.</x:v>
      </x:c>
      <x:c r="R37" s="38" t="str">
        <x:v>canonical_reuse</x:v>
      </x:c>
    </x:row>
    <x:row r="38" ht="74" customHeight="1">
      <x:c r="A38" s="38" t="str">
        <x:v>mit60001-q-020|SE4P7IVCunE:semantic_cosine_wp240_v1:4</x:v>
      </x:c>
      <x:c r="B38" s="38" t="str">
        <x:v>mit60001-q-020</x:v>
      </x:c>
      <x:c r="C38" s="38" t="str">
        <x:v>evaluated_37</x:v>
      </x:c>
      <x:c r="D38" s="38" t="str">
        <x:v>How does the lecture use len, indexing, and slicing to inspect or extract parts of a string?</x:v>
      </x:c>
      <x:c r="E38" s="38" t="str">
        <x:v>- len returns the number of characters in a string.
- Indexing retrieves the character at a specified position in the string.
- Slicing extracts a substring using start and stop indices and an optional step.</x:v>
      </x:c>
      <x:c r="F38" s="38" t="str">
        <x:v>candidate_v2_e2</x:v>
      </x:c>
      <x:c r="G38" s="38" t="str">
        <x:v>False</x:v>
      </x:c>
      <x:c r="H38" s="38" t="str">
        <x:v>True</x:v>
      </x:c>
      <x:c r="I38" s="38" t="str">
        <x:v>SE4P7IVCunE:semantic_cosine_wp240_v1:4</x:v>
      </x:c>
      <x:c r="J38" s="38" t="str">
        <x:v>1</x:v>
      </x:c>
      <x:c r="K38" s="38" t="str">
        <x:v>And by definition, it's
going to tell me what
the length of the string,
which is 3 characters long.
Another thing that
we can do on strings
is, since they're a
sequence of characters,
I might want to get
what character is
at a certain position.
So we do this using this
fancy word called indexing.
But pretty much what
indexing into a string means
is you're going
to tell Python, I
want to know the character,
at this certain position
or at this certain
index, inside my sting.
So once again, let's use this
string, s is equal to "abc."
And let's index into it.
So in computer science, we start
from 0, counting by convention.</x:v>
      </x:c>
      <x:c r="L38" s="38" t="str">
        <x:v>https://www.youtube.com/watch?v=SE4P7IVCunE&amp;t=188s</x:v>
      </x:c>
      <x:c r="M38" s="38" t="str"/>
      <x:c r="N38" s="38" t="str">
        <x:v>The evidence supports the requested mechanism or behavior</x:v>
      </x:c>
      <x:c r="O38" s="38" t="str"/>
      <x:c r="P38" s="38" t="str"/>
      <x:c r="Q38" s="38" t="str"/>
      <x:c r="R38" s="38" t="str">
        <x:v>pending</x:v>
      </x:c>
    </x:row>
    <x:row r="39" ht="74" customHeight="1">
      <x:c r="A39" s="38" t="str">
        <x:v>mit60001-q-020|SE4P7IVCunE:semantic_cosine_wp240_v1:9</x:v>
      </x:c>
      <x:c r="B39" s="38" t="str">
        <x:v>mit60001-q-020</x:v>
      </x:c>
      <x:c r="C39" s="38" t="str">
        <x:v>evaluated_37</x:v>
      </x:c>
      <x:c r="D39" s="38" t="str">
        <x:v>How does the lecture use len, indexing, and slicing to inspect or extract parts of a string?</x:v>
      </x:c>
      <x:c r="E39" s="38" t="str">
        <x:v>- len returns the number of characters in a string.
- Indexing retrieves the character at a specified position in the string.
- Slicing extracts a substring using start and stop indices and an optional step.</x:v>
      </x:c>
      <x:c r="F39" s="38" t="str">
        <x:v>candidate_v2_e2
current_control_e1</x:v>
      </x:c>
      <x:c r="G39" s="38" t="str">
        <x:v>True</x:v>
      </x:c>
      <x:c r="H39" s="38" t="str">
        <x:v>True</x:v>
      </x:c>
      <x:c r="I39" s="38" t="str">
        <x:v>SE4P7IVCunE:semantic_cosine_wp240_v1:9</x:v>
      </x:c>
      <x:c r="J39" s="38" t="str">
        <x:v>3</x:v>
      </x:c>
      <x:c r="K39" s="38" t="str">
        <x:v>with strings, we call that
slicing, slicing into a string.
And this notation here should
seem a little bit familiar,
because we saw it last lecture
when we did it with range.
We had a start,
stop, and a step.
The notation was a
little bit different,
because, in range, we had
open-close parentheses
and commas in between.
But except for that, this
sort of works the same.
The start is the
index, starting from 0,
from where you want to
slice into this string.
The stop is the stop index.
So you're going to go
up until stop minus 1
and take that index.
And then the step is how many
letters you wish to take.
So this is the
full notation here.
But sometimes, you
can not give it
a third sort of number in here.
So if you only give
it two numbers,</x:v>
      </x:c>
      <x:c r="L39" s="38" t="str">
        <x:v>https://www.youtube.com/watch?v=SE4P7IVCunE&amp;t=406s</x:v>
      </x:c>
      <x:c r="M39" s="38" t="str">
        <x:v>The candidate excerpt directly supports the answer. The chunk_id 'SE4P7IVCunE:semantic_cosine_wp240_v1:12' mentions 'reverses the string automatically for you' which is equivalent to getting the inverse of the string, and the chunk_id 'SE4P7IVCunE:semantic_cosine_wp240_v1:9' explains how slicing works with a start, stop, and step index.</x:v>
      </x:c>
      <x:c r="N39" s="38" t="str">
        <x:v>The evidence supports the requested mechanism or behavior</x:v>
      </x:c>
      <x:c r="O39" s="38" t="str">
        <x:v>baseline_m3_canonical</x:v>
      </x:c>
      <x:c r="P39" s="38" t="str">
        <x:v>supports</x:v>
      </x:c>
      <x:c r="Q39" s="38" t="str">
        <x:v>Directly explains string slicing with start, stop, and optional step indices.</x:v>
      </x:c>
      <x:c r="R39" s="38" t="str">
        <x:v>canonical_reuse</x:v>
      </x:c>
    </x:row>
    <x:row r="40" ht="74" customHeight="1">
      <x:c r="A40" s="38" t="str">
        <x:v>mit60001-q-021|0jljZRnHwOI:semantic_cosine_wp240_v1:20</x:v>
      </x:c>
      <x:c r="B40" s="38" t="str">
        <x:v>mit60001-q-021</x:v>
      </x:c>
      <x:c r="C40" s="38" t="str">
        <x:v>evaluated_37</x:v>
      </x:c>
      <x:c r="D40" s="38" t="str">
        <x:v>How does the course explain the role of Boolean comparisons in branching?</x:v>
      </x:c>
      <x:c r="E40" s="38" t="str">
        <x:v>- Boolean comparisons provide tests whose results are True or False.
- Branching uses those test results to choose which path of the program should execute.</x:v>
      </x:c>
      <x:c r="F40" s="38" t="str">
        <x:v>candidate_v2_e2</x:v>
      </x:c>
      <x:c r="G40" s="38" t="str">
        <x:v>False</x:v>
      </x:c>
      <x:c r="H40" s="38" t="str">
        <x:v>True</x:v>
      </x:c>
      <x:c r="I40" s="38" t="str">
        <x:v>0jljZRnHwOI:semantic_cosine_wp240_v1:20</x:v>
      </x:c>
      <x:c r="J40" s="38" t="str">
        <x:v>1</x:v>
      </x:c>
      <x:c r="K40" s="38" t="str">
        <x:v>All right.
So now that we have ways to do
logical-- question right there.
AUDIENCE: [INAUDIBLE]
PROFESSOR: Yeah, great question.
So what does it mean to
compare a string with a string
with the greater than?
So that's just going to compare
them, lexicographically.
So does it come first
in the alphabet?
So we can even test that out.
We can say, is a greater than b?
And it's false.
So b comes later in
the alphabet than a.
OK.
So now we have ways
to do the tests.
So we can add some branching
to our programming toolbox
now that we have
ways to do tests.
This is a map of MIT.
I'm going to go through
sort of a little example
to motivate why we would want
to do branching in our code.</x:v>
      </x:c>
      <x:c r="L40" s="38" t="str">
        <x:v>https://www.youtube.com/watch?v=0jljZRnHwOI&amp;t=977s</x:v>
      </x:c>
      <x:c r="M40" s="38" t="str"/>
      <x:c r="N40" s="38" t="str">
        <x:v>The evidence supports the requested answer and covers the entire question.</x:v>
      </x:c>
      <x:c r="O40" s="38" t="str"/>
      <x:c r="P40" s="38" t="str"/>
      <x:c r="Q40" s="38" t="str"/>
      <x:c r="R40" s="38" t="str">
        <x:v>pending</x:v>
      </x:c>
    </x:row>
    <x:row r="41" ht="74" customHeight="1">
      <x:c r="A41" s="38" t="str">
        <x:v>mit60001-q-021|FlGjISF3l78:semantic_cosine_wp240_v1:64</x:v>
      </x:c>
      <x:c r="B41" s="38" t="str">
        <x:v>mit60001-q-021</x:v>
      </x:c>
      <x:c r="C41" s="38" t="str">
        <x:v>evaluated_37</x:v>
      </x:c>
      <x:c r="D41" s="38" t="str">
        <x:v>How does the course explain the role of Boolean comparisons in branching?</x:v>
      </x:c>
      <x:c r="E41" s="38" t="str">
        <x:v>- Boolean comparisons provide tests whose results are True or False.
- Branching uses those test results to choose which path of the program should execute.</x:v>
      </x:c>
      <x:c r="F41" s="38" t="str">
        <x:v>candidate_v2_e2</x:v>
      </x:c>
      <x:c r="G41" s="38" t="str">
        <x:v>False</x:v>
      </x:c>
      <x:c r="H41" s="38" t="str">
        <x:v>True</x:v>
      </x:c>
      <x:c r="I41" s="38" t="str">
        <x:v>FlGjISF3l78:semantic_cosine_wp240_v1:64</x:v>
      </x:c>
      <x:c r="J41" s="38" t="str">
        <x:v>2</x:v>
      </x:c>
      <x:c r="K41" s="38" t="str">
        <x:v>or getting the
combinations of those two.
So that's what these
two Booleans are doing.
So these are going
to tell me-- these
are going to be Boolean
values, either True or False.
And I'm going to
return either they
have the same
parents of that type
or the same parents
criss-crossed, OK?
So here, notice
that I'm actually
comparing the IDs of the
rabbits as opposed to the Rabbit
objects directly, OK?
So if, instead of
comparing the IDs in here,
I was comparing the parents
themselves, directly,
what would end up happening
is this function, this method,
eq(), would get called
over and over again.
Because here, we have
parents that are rabbits.
And at some point, the parents
of the very, very first rabbits
ever created by this
program are None.
And so when I try
to call-- when I</x:v>
      </x:c>
      <x:c r="L41" s="38" t="str">
        <x:v>https://www.youtube.com/watch?v=FlGjISF3l78&amp;t=2723s</x:v>
      </x:c>
      <x:c r="M41" s="38" t="str"/>
      <x:c r="N41" s="38" t="str">
        <x:v>The evidence supports the requested answer and covers the entire question.</x:v>
      </x:c>
      <x:c r="O41" s="38" t="str"/>
      <x:c r="P41" s="38" t="str"/>
      <x:c r="Q41" s="38" t="str"/>
      <x:c r="R41" s="38" t="str">
        <x:v>pending</x:v>
      </x:c>
    </x:row>
    <x:row r="42" ht="74" customHeight="1">
      <x:c r="A42" s="38" t="str">
        <x:v>mit60001-q-021|SE4P7IVCunE:semantic_cosine_wp240_v1:28</x:v>
      </x:c>
      <x:c r="B42" s="38" t="str">
        <x:v>mit60001-q-021</x:v>
      </x:c>
      <x:c r="C42" s="38" t="str">
        <x:v>evaluated_37</x:v>
      </x:c>
      <x:c r="D42" s="38" t="str">
        <x:v>How does the course explain the role of Boolean comparisons in branching?</x:v>
      </x:c>
      <x:c r="E42" s="38" t="str">
        <x:v>- Boolean comparisons provide tests whose results are True or False.
- Branching uses those test results to choose which path of the program should execute.</x:v>
      </x:c>
      <x:c r="F42" s="38" t="str">
        <x:v>candidate_v2_e2</x:v>
      </x:c>
      <x:c r="G42" s="38" t="str">
        <x:v>False</x:v>
      </x:c>
      <x:c r="H42" s="38" t="str">
        <x:v>True</x:v>
      </x:c>
      <x:c r="I42" s="38" t="str">
        <x:v>SE4P7IVCunE:semantic_cosine_wp240_v1:28</x:v>
      </x:c>
      <x:c r="J42" s="38" t="str">
        <x:v>3</x:v>
      </x:c>
      <x:c r="K42" s="38" t="str">
        <x:v>These are the things
we've added to it.
We know integer,
floats, Booleans.
We know a bit of string
manipulation, math operations.
We added, recently, these
conditionals and branching
to write slightly more
interesting programs.
And now we have loops,
for and while loops
to add interesting and
more complicated programs.
So with these, the second
part of this lecture
is going to be looking at
three different algorithms.
That's the sort of
computer science part
of this class, Introduction
to Computer Science
and Programming using Python.
Don't let the word
algorithm scare you.
They're not that complicated.
You just have to sort of
think a little bit about them.</x:v>
      </x:c>
      <x:c r="L42" s="38" t="str">
        <x:v>https://www.youtube.com/watch?v=SE4P7IVCunE&amp;t=1298s</x:v>
      </x:c>
      <x:c r="M42" s="38" t="str"/>
      <x:c r="N42" s="38" t="str">
        <x:v>The evidence supports the requested answer and covers the entire question.</x:v>
      </x:c>
      <x:c r="O42" s="38" t="str"/>
      <x:c r="P42" s="38" t="str"/>
      <x:c r="Q42" s="38" t="str"/>
      <x:c r="R42" s="38" t="str">
        <x:v>pending</x:v>
      </x:c>
    </x:row>
    <x:row r="43" ht="74" customHeight="1">
      <x:c r="A43" s="38" t="str">
        <x:v>mit60001-q-022|7lQXYl_L28w:semantic_cosine_wp240_v1:84</x:v>
      </x:c>
      <x:c r="B43" s="38" t="str">
        <x:v>mit60001-q-022</x:v>
      </x:c>
      <x:c r="C43" s="38" t="str">
        <x:v>evaluated_37</x:v>
      </x:c>
      <x:c r="D43" s="38" t="str">
        <x:v>Why is a dictionary more suitable than a list for key-value lookup?</x:v>
      </x:c>
      <x:c r="E43" s="38" t="str">
        <x:v>- A list is an ordered sequence accessed by integer indices, while a dictionary maps keys to values and is accessed by key.
- Dictionary keys must be immutable.
- List indexing goes directly to a position; dictionary lookup uses a hash-based indexing scheme and trades additional flexibility for lookup cost.</x:v>
      </x:c>
      <x:c r="F43" s="38" t="str">
        <x:v>candidate_v2_e2
current_control_e1</x:v>
      </x:c>
      <x:c r="G43" s="38" t="str">
        <x:v>True</x:v>
      </x:c>
      <x:c r="H43" s="38" t="str">
        <x:v>True</x:v>
      </x:c>
      <x:c r="I43" s="38" t="str">
        <x:v>7lQXYl_L28w:semantic_cosine_wp240_v1:84</x:v>
      </x:c>
      <x:c r="J43" s="38" t="str">
        <x:v>3</x:v>
      </x:c>
      <x:c r="K43" s="38" t="str">
        <x:v>So you can see that these
operations are typically
linear in the size of a list.
These are constant.
For dictionaries,
remember, dictionaries
were this nice thing.
They weren't ordered.
It gave me a power in
terms of storing them.
But as a consequence, some
of the costs then go up.
For a list, indexing, going
to a particular point,
I just go to that
spot and retrieve it.
Indexing into a
dictionary, I have
to find that point in the
dictionary that has the key
and get the value back.</x:v>
      </x:c>
      <x:c r="L43" s="38" t="str">
        <x:v>https://www.youtube.com/watch?v=7lQXYl_L28w&amp;t=2890s</x:v>
      </x:c>
      <x:c r="M43" s="38" t="str">
        <x:v>The candidate excerpt directly supports the answer that a dictionary is more suitable than a list for key-value lookup because it explains that dictionaries allow for indexing by a key or label, making it easier to retrieve values associated with a particular key.</x:v>
      </x:c>
      <x:c r="N43" s="38" t="str">
        <x:v>The evidence supports the reason why a dictionary is more suitable than a list for key-value lookup.</x:v>
      </x:c>
      <x:c r="O43" s="38" t="str">
        <x:v>baseline_m3_canonical</x:v>
      </x:c>
      <x:c r="P43" s="38" t="str">
        <x:v>supports</x:v>
      </x:c>
      <x:c r="Q43" s="38" t="str">
        <x:v>Directly contrasts direct list indexing with dictionary key lookup and discusses the lookup-cost tradeoff.</x:v>
      </x:c>
      <x:c r="R43" s="38" t="str">
        <x:v>canonical_reuse</x:v>
      </x:c>
    </x:row>
    <x:row r="44" ht="74" customHeight="1">
      <x:c r="A44" s="38" t="str">
        <x:v>mit60001-q-022|WPSeyjX1-4s:semantic_cosine_wp240_v1:59</x:v>
      </x:c>
      <x:c r="B44" s="38" t="str">
        <x:v>mit60001-q-022</x:v>
      </x:c>
      <x:c r="C44" s="38" t="str">
        <x:v>evaluated_37</x:v>
      </x:c>
      <x:c r="D44" s="38" t="str">
        <x:v>Why is a dictionary more suitable than a list for key-value lookup?</x:v>
      </x:c>
      <x:c r="E44" s="38" t="str">
        <x:v>- A list is an ordered sequence accessed by integer indices, while a dictionary maps keys to values and is accessed by key.
- Dictionary keys must be immutable.
- List indexing goes directly to a position; dictionary lookup uses a hash-based indexing scheme and trades additional flexibility for lookup cost.</x:v>
      </x:c>
      <x:c r="F44" s="38" t="str">
        <x:v>candidate_v2_e2
current_control_e1</x:v>
      </x:c>
      <x:c r="G44" s="38" t="str">
        <x:v>True</x:v>
      </x:c>
      <x:c r="H44" s="38" t="str">
        <x:v>True</x:v>
      </x:c>
      <x:c r="I44" s="38" t="str">
        <x:v>WPSeyjX1-4s:semantic_cosine_wp240_v1:59</x:v>
      </x:c>
      <x:c r="J44" s="38" t="str">
        <x:v>2</x:v>
      </x:c>
      <x:c r="K44" s="38" t="str">
        <x:v>and has elements associated
with it, a dictionary is going
to combine a key, or if you
like, a name of some sort,
with an actual value.
And we're going to
index just by the name
or the label as we go into it.
So let me show
you some examples.
First of all, to create a
dictionary I use curly braces,
open closed curly brace,
so an empty dictionary
would be simply that call.
If I want to create
an actual dictionary,
before I insert
things into it, I</x:v>
      </x:c>
      <x:c r="L44" s="38" t="str">
        <x:v>https://www.youtube.com/watch?v=WPSeyjX1-4s&amp;t=2147s</x:v>
      </x:c>
      <x:c r="M44" s="38" t="str">
        <x:v>The candidate excerpt directly supports the answer that a dictionary is more suitable than a list for key-value lookup because it explains that dictionaries allow for indexing by a key or label, making it easier to retrieve values associated with a particular key.</x:v>
      </x:c>
      <x:c r="N44" s="38" t="str">
        <x:v>The evidence supports the reason why a dictionary is more suitable than a list for key-value lookup.</x:v>
      </x:c>
      <x:c r="O44" s="38" t="str">
        <x:v>baseline_m3_canonical</x:v>
      </x:c>
      <x:c r="P44" s="38" t="str">
        <x:v>supports</x:v>
      </x:c>
      <x:c r="Q44" s="38" t="str">
        <x:v>Directly explains that dictionaries associate keys/names with values and are indexed by the key/name.</x:v>
      </x:c>
      <x:c r="R44" s="38" t="str">
        <x:v>canonical_reuse</x:v>
      </x:c>
    </x:row>
    <x:row r="45" ht="74" customHeight="1">
      <x:c r="A45" s="38" t="str">
        <x:v>mit60001-q-022|WPSeyjX1-4s:semantic_cosine_wp240_v1:64</x:v>
      </x:c>
      <x:c r="B45" s="38" t="str">
        <x:v>mit60001-q-022</x:v>
      </x:c>
      <x:c r="C45" s="38" t="str">
        <x:v>evaluated_37</x:v>
      </x:c>
      <x:c r="D45" s="38" t="str">
        <x:v>Why is a dictionary more suitable than a list for key-value lookup?</x:v>
      </x:c>
      <x:c r="E45" s="38" t="str">
        <x:v>- A list is an ordered sequence accessed by integer indices, while a dictionary maps keys to values and is accessed by key.
- Dictionary keys must be immutable.
- List indexing goes directly to a position; dictionary lookup uses a hash-based indexing scheme and trades additional flexibility for lookup cost.</x:v>
      </x:c>
      <x:c r="F45" s="38" t="str">
        <x:v>candidate_v2_e2
current_control_e1</x:v>
      </x:c>
      <x:c r="G45" s="38" t="str">
        <x:v>True</x:v>
      </x:c>
      <x:c r="H45" s="38" t="str">
        <x:v>True</x:v>
      </x:c>
      <x:c r="I45" s="38" t="str">
        <x:v>WPSeyjX1-4s:semantic_cosine_wp240_v1:64</x:v>
      </x:c>
      <x:c r="J45" s="38" t="str">
        <x:v>1</x:v>
      </x:c>
      <x:c r="K45" s="38" t="str">
        <x:v>back a collection of all the
keys in some arbitrary order.
I'm going to use
a funny term here
which I'm not certain
we've seen so far.
It returns something we call
an iterable, it's like range.
Think of it as giving us back
the equivalent of a list,
it's not actually
a list, but it's
something we can walk down.
Which is exactly why I
can then say, is something
in a dictionary, because it
returns this set of keys,
and I can test to see
something's in there.
I can similarly get
all of the values
if I wanted to look at them,
giving us out two iterables.
Here are the key things to keep
in mind about dictionaries.</x:v>
      </x:c>
      <x:c r="L45" s="38" t="str">
        <x:v>https://www.youtube.com/watch?v=WPSeyjX1-4s&amp;t=2317s</x:v>
      </x:c>
      <x:c r="M45" s="38" t="str">
        <x:v>The candidate excerpt directly supports the answer that a dictionary is more suitable than a list for key-value lookup because it explains that dictionaries allow for indexing by a key or label, making it easier to retrieve values associated with a particular key.</x:v>
      </x:c>
      <x:c r="N45" s="38" t="str">
        <x:v>The evidence supports the reason why a dictionary is more suitable than a list for key-value lookup.</x:v>
      </x:c>
      <x:c r="O45" s="38" t="str">
        <x:v>baseline_m3_canonical</x:v>
      </x:c>
      <x:c r="P45" s="38" t="str">
        <x:v>does_not_support</x:v>
      </x:c>
      <x:c r="Q45" s="38" t="str">
        <x:v>Mentions keys, values, and membership iteration but does not explain why dictionary key-value lookup is preferable to list indexing.</x:v>
      </x:c>
      <x:c r="R45" s="38" t="str">
        <x:v>canonical_reuse</x:v>
      </x:c>
    </x:row>
    <x:row r="46" ht="74" customHeight="1">
      <x:c r="A46" s="38" t="str">
        <x:v>mit60001-q-023|MjbuarJ7SE0:semantic_cosine_wp240_v1:54</x:v>
      </x:c>
      <x:c r="B46" s="38" t="str">
        <x:v>mit60001-q-023</x:v>
      </x:c>
      <x:c r="C46" s="38" t="str">
        <x:v>excluded_existing</x:v>
      </x:c>
      <x:c r="D46" s="38" t="str">
        <x:v>How does the course explain abstraction when functions are used in a program?</x:v>
      </x:c>
      <x:c r="E46" s="38" t="str">
        <x:v>- Abstraction captures a computation inside a procedure and exposes a contract.
- The caller does not need to know the procedure's internal details as long as it delivers the promised result.
- Functions also support decomposition by organizing code into coherent structural units.</x:v>
      </x:c>
      <x:c r="F46" s="38" t="str">
        <x:v>candidate_v2_e2</x:v>
      </x:c>
      <x:c r="G46" s="38" t="str">
        <x:v>False</x:v>
      </x:c>
      <x:c r="H46" s="38" t="str">
        <x:v>True</x:v>
      </x:c>
      <x:c r="I46" s="38" t="str">
        <x:v>MjbuarJ7SE0:semantic_cosine_wp240_v1:54</x:v>
      </x:c>
      <x:c r="J46" s="38" t="str">
        <x:v>2</x:v>
      </x:c>
      <x:c r="K46" s="38"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c r="L46" s="38" t="str">
        <x:v>https://www.youtube.com/watch?v=MjbuarJ7SE0&amp;t=2418s</x:v>
      </x:c>
      <x:c r="M46" s="38" t="str"/>
      <x:c r="N46" s="38" t="str">
        <x:v>The evidence supports the requested mechanism or behavior. The selected excerpts directly explain abstraction when functions are used in a program.</x:v>
      </x:c>
      <x:c r="O46" s="38" t="str"/>
      <x:c r="P46" s="38" t="str"/>
      <x:c r="Q46" s="38" t="str"/>
      <x:c r="R46" s="38" t="str">
        <x:v>pending</x:v>
      </x:c>
    </x:row>
    <x:row r="47" ht="74" customHeight="1">
      <x:c r="A47" s="38" t="str">
        <x:v>mit60001-q-023|MjbuarJ7SE0:semantic_cosine_wp240_v1:6</x:v>
      </x:c>
      <x:c r="B47" s="38" t="str">
        <x:v>mit60001-q-023</x:v>
      </x:c>
      <x:c r="C47" s="38" t="str">
        <x:v>excluded_existing</x:v>
      </x:c>
      <x:c r="D47" s="38" t="str">
        <x:v>How does the course explain abstraction when functions are used in a program?</x:v>
      </x:c>
      <x:c r="E47" s="38" t="str">
        <x:v>- Abstraction captures a computation inside a procedure and exposes a contract.
- The caller does not need to know the procedure's internal details as long as it delivers the promised result.
- Functions also support decomposition by organizing code into coherent structural units.</x:v>
      </x:c>
      <x:c r="F47" s="38" t="str">
        <x:v>candidate_v2_e2</x:v>
      </x:c>
      <x:c r="G47" s="38" t="str">
        <x:v>False</x:v>
      </x:c>
      <x:c r="H47" s="38" t="str">
        <x:v>True</x:v>
      </x:c>
      <x:c r="I47" s="38" t="str">
        <x:v>MjbuarJ7SE0:semantic_cosine_wp240_v1:6</x:v>
      </x:c>
      <x:c r="J47" s="38" t="str">
        <x:v>3</x:v>
      </x:c>
      <x:c r="K47" s="38" t="str">
        <x:v>later on if they find it useful.
So today we're introducing
this idea of functions.
And functions are
mechanisms to achieve
decomposition and abstraction.
So these are two
key words here that
are going to pop up
in today's lecture
and also in future lectures.
So before I introduce
decomposition and abstraction
in the context of
functions, let's
first take a look at just
sort of a real-life example.
So let's take a projector.
I'm using one right now.
Quick show of hands.</x:v>
      </x:c>
      <x:c r="L47" s="38" t="str">
        <x:v>https://www.youtube.com/watch?v=MjbuarJ7SE0&amp;t=247s</x:v>
      </x:c>
      <x:c r="M47" s="38" t="str"/>
      <x:c r="N47" s="38" t="str">
        <x:v>The evidence supports the requested mechanism or behavior. The selected excerpts directly explain abstraction when functions are used in a program.</x:v>
      </x:c>
      <x:c r="O47" s="38" t="str"/>
      <x:c r="P47" s="38" t="str"/>
      <x:c r="Q47" s="38" t="str"/>
      <x:c r="R47" s="38" t="str">
        <x:v>pending</x:v>
      </x:c>
    </x:row>
    <x:row r="48" ht="74" customHeight="1">
      <x:c r="A48" s="38" t="str">
        <x:v>mit60001-q-026|-DP1i2ZU9gk:semantic_cosine_wp240_v1:8</x:v>
      </x:c>
      <x:c r="B48" s="38" t="str">
        <x:v>mit60001-q-026</x:v>
      </x:c>
      <x:c r="C48" s="38" t="str">
        <x:v>evaluated_37</x:v>
      </x:c>
      <x:c r="D48" s="38" t="str">
        <x:v>What happens when a list element is accessed using an index?</x:v>
      </x:c>
      <x:c r="E48" s="38" t="str">
        <x:v>- Python can locate the address of the indexed list slot and follow the stored pointer to the object in memory.
- Because the address of the i-th slot is known, any list element can be accessed by index in constant time.</x:v>
      </x:c>
      <x:c r="F48" s="38" t="str">
        <x:v>candidate_v2_e2
current_control_e1</x:v>
      </x:c>
      <x:c r="G48" s="38" t="str">
        <x:v>True</x:v>
      </x:c>
      <x:c r="H48" s="38" t="str">
        <x:v>True</x:v>
      </x:c>
      <x:c r="I48" s="38" t="str">
        <x:v>-DP1i2ZU9gk:semantic_cosine_wp240_v1:8</x:v>
      </x:c>
      <x:c r="J48" s="38" t="str">
        <x:v>1</x:v>
      </x:c>
      <x:c r="K48" s="38" t="str">
        <x:v>One is going to be the
value at specific index.
OK?
So at index 0, it has
the value 1, right,
because it's the first
element in the list.
And the second thing
that represents a list
is going to be this second
part, which is a pointer.
And internally this
pointer is going
to tell Python
where is the memory
location in the computer where
you can access the element
index 1.
So it's just essentially
going to be a chain,
going from one
index to the other.
And at the next memory location
you have the value at index 1,
and then you have
another pointer
that takes you to the
location in memory
where the index 2 is located.
And in index 2 you
have the value and then
the next pointer,
and so on and so on.
So this is how Python
internally represents a list.
OK?</x:v>
      </x:c>
      <x:c r="L48" s="38" t="str">
        <x:v>https://www.youtube.com/watch?v=-DP1i2ZU9gk&amp;t=329s</x:v>
      </x:c>
      <x:c r="M48" s="38" t="str">
        <x:v>The candidate excerpt at rank 1 directly supports the answer that when a list element is accessed using an index, it returns the value at that specific index.</x:v>
      </x:c>
      <x:c r="N48" s="38" t="str">
        <x:v>The whole question is covered</x:v>
      </x:c>
      <x:c r="O48" s="38" t="str">
        <x:v>baseline_m3_canonical</x:v>
      </x:c>
      <x:c r="P48" s="38" t="str">
        <x:v>does_not_support</x:v>
      </x:c>
      <x:c r="Q48" s="38" t="str">
        <x:v>Discusses values and pointers in an internal list representation, but does not entail direct indexed-slot addressing or constant-time indexed access; the chain description is insufficient for the expected answer.</x:v>
      </x:c>
      <x:c r="R48" s="38" t="str">
        <x:v>canonical_reuse</x:v>
      </x:c>
    </x:row>
    <x:row r="49" ht="74" customHeight="1">
      <x:c r="A49" s="38" t="str">
        <x:v>mit60001-q-026|7lQXYl_L28w:semantic_cosine_wp240_v1:16</x:v>
      </x:c>
      <x:c r="B49" s="38" t="str">
        <x:v>mit60001-q-026</x:v>
      </x:c>
      <x:c r="C49" s="38" t="str">
        <x:v>evaluated_37</x:v>
      </x:c>
      <x:c r="D49" s="38" t="str">
        <x:v>What happens when a list element is accessed using an index?</x:v>
      </x:c>
      <x:c r="E49" s="38" t="str">
        <x:v>- Python can locate the address of the indexed list slot and follow the stored pointer to the object in memory.
- Because the address of the i-th slot is known, any list element can be accessed by index in constant time.</x:v>
      </x:c>
      <x:c r="F49" s="38" t="str">
        <x:v>candidate_v2_e2</x:v>
      </x:c>
      <x:c r="G49" s="38" t="str">
        <x:v>False</x:v>
      </x:c>
      <x:c r="H49" s="38" t="str">
        <x:v>True</x:v>
      </x:c>
      <x:c r="I49" s="38" t="str">
        <x:v>7lQXYl_L28w:semantic_cosine_wp240_v1:16</x:v>
      </x:c>
      <x:c r="J49" s="38" t="str">
        <x:v>3</x:v>
      </x:c>
      <x:c r="K49" s="38" t="str">
        <x:v>I'm going to assume it's sorted.
And I'm going to pick an index
that divides the list in half,
just pick the
midpoint in the list.
And I'm going to
check that value.
I'm going to ask, is the element
in the list at that point
the thing I'm looking for?
If it is, great, I'm done.
If I'm not that lucky,
I'm then going to ask,
is it larger or smaller than
the thing I'm looking for?
And based on that,
I'm either going
to search the front half or
the back half of the list.
Ooh, that's nice, OK?</x:v>
      </x:c>
      <x:c r="L49" s="38" t="str">
        <x:v>https://www.youtube.com/watch?v=7lQXYl_L28w&amp;t=571s</x:v>
      </x:c>
      <x:c r="M49" s="38" t="str"/>
      <x:c r="N49" s="38" t="str">
        <x:v>The whole question is covered</x:v>
      </x:c>
      <x:c r="O49" s="38" t="str"/>
      <x:c r="P49" s="38" t="str"/>
      <x:c r="Q49" s="38" t="str"/>
      <x:c r="R49" s="38" t="str">
        <x:v>pending</x:v>
      </x:c>
    </x:row>
    <x:row r="50" ht="74" customHeight="1">
      <x:c r="A50" s="38" t="str">
        <x:v>mit60001-q-026|RvRKT-jXvko:semantic_cosine_wp240_v1:23</x:v>
      </x:c>
      <x:c r="B50" s="38" t="str">
        <x:v>mit60001-q-026</x:v>
      </x:c>
      <x:c r="C50" s="38" t="str">
        <x:v>evaluated_37</x:v>
      </x:c>
      <x:c r="D50" s="38" t="str">
        <x:v>What happens when a list element is accessed using an index?</x:v>
      </x:c>
      <x:c r="E50" s="38" t="str">
        <x:v>- Python can locate the address of the indexed list slot and follow the stored pointer to the object in memory.
- Because the address of the i-th slot is known, any list element can be accessed by index in constant time.</x:v>
      </x:c>
      <x:c r="F50" s="38" t="str">
        <x:v>candidate_v2_e2</x:v>
      </x:c>
      <x:c r="G50" s="38" t="str">
        <x:v>False</x:v>
      </x:c>
      <x:c r="H50" s="38" t="str">
        <x:v>True</x:v>
      </x:c>
      <x:c r="I50" s="38" t="str">
        <x:v>RvRKT-jXvko:semantic_cosine_wp240_v1:23</x:v>
      </x:c>
      <x:c r="J50" s="38" t="str">
        <x:v>2</x:v>
      </x:c>
      <x:c r="K50" s="38" t="str">
        <x:v>It's just going to look at the
outer-- the shell of elements.
Indexing and slicing
works the same way.
So l at position 0
gives you the value 2.
You can index into a list,
and then do something
with the value
that you get back.
So l at position 2 says--
that's this value there
and add one to it.
L at position 3, that's
going to be this list here.
Notice it evaluates
to another list.
You're not allowed
to index outside
of the length of the list.
So that's going to give you
an error, because we only
have four elements.
And you can also have
expressions for your index.</x:v>
      </x:c>
      <x:c r="L50" s="38" t="str">
        <x:v>https://www.youtube.com/watch?v=RvRKT-jXvko&amp;t=965s</x:v>
      </x:c>
      <x:c r="M50" s="38" t="str"/>
      <x:c r="N50" s="38" t="str">
        <x:v>The whole question is covered</x:v>
      </x:c>
      <x:c r="O50" s="38" t="str"/>
      <x:c r="P50" s="38" t="str"/>
      <x:c r="Q50" s="38" t="str"/>
      <x:c r="R50" s="38" t="str">
        <x:v>pending</x:v>
      </x:c>
    </x:row>
    <x:row r="51" ht="74" customHeight="1">
      <x:c r="A51" s="38" t="str">
        <x:v>mit60001-q-027|SE4P7IVCunE:semantic_cosine_wp240_v1:21</x:v>
      </x:c>
      <x:c r="B51" s="38" t="str">
        <x:v>mit60001-q-027</x:v>
      </x:c>
      <x:c r="C51" s="38" t="str">
        <x:v>evaluated_37</x:v>
      </x:c>
      <x:c r="D51" s="38" t="str">
        <x:v>How does a for loop process the characters in a string?</x:v>
      </x:c>
      <x:c r="E51" s="38" t="str">
        <x:v>- A for loop over a string iterates directly over every character rather than over numeric indices.
- On each iteration, the loop variable holds one character from the string.</x:v>
      </x:c>
      <x:c r="F51" s="38" t="str">
        <x:v>candidate_v2_e2
current_control_e1</x:v>
      </x:c>
      <x:c r="G51" s="38" t="str">
        <x:v>True</x:v>
      </x:c>
      <x:c r="H51" s="38" t="str">
        <x:v>True</x:v>
      </x:c>
      <x:c r="I51" s="38" t="str">
        <x:v>SE4P7IVCunE:semantic_cosine_wp240_v1:21</x:v>
      </x:c>
      <x:c r="J51" s="38" t="str">
        <x:v>3</x:v>
      </x:c>
      <x:c r="K51" s="38" t="str">
        <x:v>And it just looks pretty, right?
You can tell what this
code's supposed to do.
Whereas this one is a little
bit harder to decipher.
So that's sort of an
illustration of a for loop
over a sequence of characters.
So char is going to be
a loop variable, still.
And the loop variable,
instead of iterating over
a set of numbers, it's going
to iterate over every character
in s, directly.
And char is going
to be a character.
It's going to be a letter.
So here's a more
complicated example.
I wrote this code a
couple of years ago.
And it was my attempt at
creating robot cheerleaders ,
because I needed
some motivation.
And then I googled, last
night, "robot cheerleaders,"
and was not disappointed.
Created this GIF.
It looks pretty cool.
And it looks like they
kind of stole my idea.</x:v>
      </x:c>
      <x:c r="L51" s="38" t="str">
        <x:v>https://www.youtube.com/watch?v=SE4P7IVCunE&amp;t=948s</x:v>
      </x:c>
      <x:c r="M51" s="38" t="str">
        <x:v>The candidate excerpt directly supports the answer that a for loop processes the characters in a string by iterating over every character in the string, as shown in the example where the loop variable 'char' iterates over every character in 's'.</x:v>
      </x:c>
      <x:c r="N51" s="38" t="str">
        <x:v>The evidence supports the mechanism of how a for loop processes characters in a string.</x:v>
      </x:c>
      <x:c r="O51" s="38" t="str">
        <x:v>baseline_m3_canonical</x:v>
      </x:c>
      <x:c r="P51" s="38" t="str">
        <x:v>supports</x:v>
      </x:c>
      <x:c r="Q51" s="38" t="str">
        <x:v>Directly explains that a for loop iterates over each character in a string and the loop variable holds a character.</x:v>
      </x:c>
      <x:c r="R51" s="38" t="str">
        <x:v>canonical_reuse</x:v>
      </x:c>
    </x:row>
    <x:row r="52" ht="74" customHeight="1">
      <x:c r="A52" s="38" t="str">
        <x:v>mit60001-q-027|zYVWQpCitKQ:semantic_cosine_wp240_v1:1</x:v>
      </x:c>
      <x:c r="B52" s="38" t="str">
        <x:v>mit60001-q-027</x:v>
      </x:c>
      <x:c r="C52" s="38" t="str">
        <x:v>evaluated_37</x:v>
      </x:c>
      <x:c r="D52" s="38" t="str">
        <x:v>How does a for loop process the characters in a string?</x:v>
      </x:c>
      <x:c r="E52" s="38" t="str">
        <x:v>- A for loop over a string iterates directly over every character rather than over numeric indices.
- On each iteration, the loop variable holds one character from the string.</x:v>
      </x:c>
      <x:c r="F52" s="38" t="str">
        <x:v>candidate_v2_e2</x:v>
      </x:c>
      <x:c r="G52" s="38" t="str">
        <x:v>False</x:v>
      </x:c>
      <x:c r="H52" s="38" t="str">
        <x:v>True</x:v>
      </x:c>
      <x:c r="I52" s="38" t="str">
        <x:v>zYVWQpCitKQ:semantic_cosine_wp240_v1:1</x:v>
      </x:c>
      <x:c r="J52" s="38" t="str">
        <x:v>2</x:v>
      </x:c>
      <x:c r="K52" s="38" t="str">
        <x:v>which contains the
string "life", the string
"answer", the number
42, and the number 0.
Here, I'm writing a loop that
iterates over every element
directly in L, right?
So originally, thing is going
to be string "life", then, thing
is going to be the
string "answer", then,
thing is going to
be the number 42.
And so what am I doing inside
the loop as I'm iterating?
Well, if thing is equal to
0, then I'm going to do this.
And otherwise, I'm
going to do this.
So for the first
two iterations when
thing is equal to
"life" or "answer",
I'm not doing anything.</x:v>
      </x:c>
      <x:c r="L52" s="38" t="str">
        <x:v>https://www.youtube.com/watch?v=zYVWQpCitKQ&amp;t=54s</x:v>
      </x:c>
      <x:c r="M52" s="38" t="str"/>
      <x:c r="N52" s="38" t="str">
        <x:v>The evidence supports the mechanism of how a for loop processes characters in a string.</x:v>
      </x:c>
      <x:c r="O52" s="38" t="str"/>
      <x:c r="P52" s="38" t="str"/>
      <x:c r="Q52" s="38" t="str"/>
      <x:c r="R52" s="38" t="str">
        <x:v>pending</x:v>
      </x:c>
    </x:row>
    <x:row r="53" ht="74" customHeight="1">
      <x:c r="A53" s="38" t="str">
        <x:v>mit60001-q-029|MjbuarJ7SE0:semantic_cosine_wp240_v1:20</x:v>
      </x:c>
      <x:c r="B53" s="38" t="str">
        <x:v>mit60001-q-029</x:v>
      </x:c>
      <x:c r="C53" s="38" t="str">
        <x:v>evaluated_37</x:v>
      </x:c>
      <x:c r="D53" s="38" t="str">
        <x:v>How does a function return a value to its caller?</x:v>
      </x:c>
      <x:c r="E53" s="38" t="str">
        <x:v>- A return statement specifies an expression whose evaluated value is sent back by the function.
- The code that called the function receives that returned value.</x:v>
      </x:c>
      <x:c r="F53" s="38" t="str">
        <x:v>candidate_v2_e2</x:v>
      </x:c>
      <x:c r="G53" s="38" t="str">
        <x:v>False</x:v>
      </x:c>
      <x:c r="H53" s="38" t="str">
        <x:v>True</x:v>
      </x:c>
      <x:c r="I53" s="38" t="str">
        <x:v>MjbuarJ7SE0:semantic_cosine_wp240_v1:20</x:v>
      </x:c>
      <x:c r="J53" s="38" t="str">
        <x:v>2</x:v>
      </x:c>
      <x:c r="K53" s="38" t="str">
        <x:v>You remember,
think of a function
as sort of a small procedure
or a little mini-program
that does something.
So you can do anything
inside the function
that you can do in the regular
program-- print things,
do mathematical
operations, and so on.
The last line is the most
important part of the function
though.
And it's this return statement--
that's what we call it.
So it's a line of code
that starts with return,
which is a keyword.
And then it's going
to be some value.
Notice this is an
expression here--
i%2 == 0 is an expression
that's going to evaluate to some
value.
And as long as this
part is something
that evaluates some value,
it can be anything you want.</x:v>
      </x:c>
      <x:c r="L53" s="38" t="str">
        <x:v>https://www.youtube.com/watch?v=MjbuarJ7SE0&amp;t=867s</x:v>
      </x:c>
      <x:c r="M53" s="38" t="str"/>
      <x:c r="N53" s="38" t="str">
        <x:v>The evidence supports the mechanism by which a function returns a value to its caller.</x:v>
      </x:c>
      <x:c r="O53" s="38" t="str"/>
      <x:c r="P53" s="38" t="str"/>
      <x:c r="Q53" s="38" t="str"/>
      <x:c r="R53" s="38" t="str">
        <x:v>pending</x:v>
      </x:c>
    </x:row>
    <x:row r="54" ht="74" customHeight="1">
      <x:c r="A54" s="38" t="str">
        <x:v>mit60001-q-029|MjbuarJ7SE0:semantic_cosine_wp240_v1:21</x:v>
      </x:c>
      <x:c r="B54" s="38" t="str">
        <x:v>mit60001-q-029</x:v>
      </x:c>
      <x:c r="C54" s="38" t="str">
        <x:v>evaluated_37</x:v>
      </x:c>
      <x:c r="D54" s="38" t="str">
        <x:v>How does a function return a value to its caller?</x:v>
      </x:c>
      <x:c r="E54" s="38" t="str">
        <x:v>- A return statement specifies an expression whose evaluated value is sent back by the function.
- The code that called the function receives that returned value.</x:v>
      </x:c>
      <x:c r="F54" s="38" t="str">
        <x:v>candidate_v2_e2</x:v>
      </x:c>
      <x:c r="G54" s="38" t="str">
        <x:v>False</x:v>
      </x:c>
      <x:c r="H54" s="38" t="str">
        <x:v>True</x:v>
      </x:c>
      <x:c r="I54" s="38" t="str">
        <x:v>MjbuarJ7SE0:semantic_cosine_wp240_v1:21</x:v>
      </x:c>
      <x:c r="J54" s="38" t="str">
        <x:v>3</x:v>
      </x:c>
      <x:c r="K54" s="38" t="str">
        <x:v>And this line here return
something tells Python, OK
after you have finished
executing everything
inside the function, what
value should I return?
And whoever called
the function is
going to get back that
value, and the function
call itself will be
replaced by that value.
OK so let's look at an example.
I'm going to introduce
the idea of scope now.
And scope just means-- is
another word for environment.
So if I told you that you
could think of functions
as little mini-programs,
the scope of a function
is going to be a completely
separate environment
than the environment
of the main program.
So as soon as you
make a function call,
behind the scenes
what Python says is,
OK I'm in the main program
but I see a function call.
I'm going to step out
of this main program.
I'm going to go off into
this new environment.</x:v>
      </x:c>
      <x:c r="L54" s="38" t="str">
        <x:v>https://www.youtube.com/watch?v=MjbuarJ7SE0&amp;t=913s</x:v>
      </x:c>
      <x:c r="M54" s="38" t="str"/>
      <x:c r="N54" s="38" t="str">
        <x:v>The evidence supports the mechanism by which a function returns a value to its caller.</x:v>
      </x:c>
      <x:c r="O54" s="38" t="str"/>
      <x:c r="P54" s="38" t="str"/>
      <x:c r="Q54" s="38" t="str"/>
      <x:c r="R54" s="38" t="str">
        <x:v>pending</x:v>
      </x:c>
    </x:row>
    <x:row r="55" ht="74" customHeight="1">
      <x:c r="A55" s="38" t="str">
        <x:v>mit60001-q-029|MjbuarJ7SE0:semantic_cosine_wp240_v1:27</x:v>
      </x:c>
      <x:c r="B55" s="38" t="str">
        <x:v>mit60001-q-029</x:v>
      </x:c>
      <x:c r="C55" s="38" t="str">
        <x:v>evaluated_37</x:v>
      </x:c>
      <x:c r="D55" s="38" t="str">
        <x:v>How does a function return a value to its caller?</x:v>
      </x:c>
      <x:c r="E55" s="38" t="str">
        <x:v>- A return statement specifies an expression whose evaluated value is sent back by the function.
- The code that called the function receives that returned value.</x:v>
      </x:c>
      <x:c r="F55" s="38" t="str">
        <x:v>candidate_v2_e2
current_control_e1</x:v>
      </x:c>
      <x:c r="G55" s="38" t="str">
        <x:v>True</x:v>
      </x:c>
      <x:c r="H55" s="38" t="str">
        <x:v>True</x:v>
      </x:c>
      <x:c r="I55" s="38" t="str">
        <x:v>MjbuarJ7SE0:semantic_cosine_wp240_v1:27</x:v>
      </x:c>
      <x:c r="J55" s="38" t="str">
        <x:v>1</x:v>
      </x:c>
      <x:c r="K55" s="38" t="str">
        <x:v>So we're still inside
the function call f,
so x gets the value 4.
We're printing this and
then we're returning x.
So in the scope of
f, x is equal to 4,
so we're returning
that value back
to whoever called it,
which was this function
call within the global scope.
So this part right here-- f
of x, which was the function
call-- gets replaced with 4.
So inside the main
program, z is equal to 4.
And that's how we pass
parameters into the function,
and we got a parameter
back from the function.
As soon as the function
returns something,
the scope that you were in
for the function gets erased.
You forget about every variable
that was created in there,
delete that scope, and
you're back to wherever
you started calling it.
One warning though.
So what happens if there's
no return statement?</x:v>
      </x:c>
      <x:c r="L55" s="38" t="str">
        <x:v>https://www.youtube.com/watch?v=MjbuarJ7SE0&amp;t=1203s</x:v>
      </x:c>
      <x:c r="M55" s="38" t="str">
        <x:v>The candidate excerpt at rank 1 directly supports the answer. It explains how a function returns a value to its caller by stating 'so we're returning x' and 'so in the scope of f, x is equal to 4, so we're returning that value back to whoever called it'.</x:v>
      </x:c>
      <x:c r="N55" s="38" t="str">
        <x:v>The evidence supports the mechanism by which a function returns a value to its caller.</x:v>
      </x:c>
      <x:c r="O55" s="38" t="str">
        <x:v>baseline_m3_canonical</x:v>
      </x:c>
      <x:c r="P55" s="38" t="str">
        <x:v>supports</x:v>
      </x:c>
      <x:c r="Q55" s="38" t="str">
        <x:v>Directly shows a return value being sent back to the caller and replacing the function call in the caller scope.</x:v>
      </x:c>
      <x:c r="R55" s="38" t="str">
        <x:v>canonical_reuse</x:v>
      </x:c>
    </x:row>
    <x:row r="56" ht="74" customHeight="1">
      <x:c r="A56" s="38" t="str">
        <x:v>mit60001-q-030|-DP1i2ZU9gk:semantic_cosine_wp240_v1:21</x:v>
      </x:c>
      <x:c r="B56" s="38" t="str">
        <x:v>mit60001-q-030</x:v>
      </x:c>
      <x:c r="C56" s="38" t="str">
        <x:v>evaluated_37</x:v>
      </x:c>
      <x:c r="D56" s="38" t="str">
        <x:v>What role does self play when a method is called on an object?</x:v>
      </x:c>
      <x:c r="E56" s="38" t="str">
        <x:v>- self represents the particular instance on which a method operates.
- Instance attributes are referenced with self.attribute, and self is the first parameter of an instance method.</x:v>
      </x:c>
      <x:c r="F56" s="38" t="str">
        <x:v>candidate_v2_e2
current_control_e1</x:v>
      </x:c>
      <x:c r="G56" s="38" t="str">
        <x:v>True</x:v>
      </x:c>
      <x:c r="H56" s="38" t="str">
        <x:v>True</x:v>
      </x:c>
      <x:c r="I56" s="38" t="str">
        <x:v>-DP1i2ZU9gk:semantic_cosine_wp240_v1:21</x:v>
      </x:c>
      <x:c r="J56" s="38" t="str">
        <x:v>1</x:v>
      </x:c>
      <x:c r="K56" s="38" t="str">
        <x:v>And we give it some
parameters, right,
just like any other function.
These last two
parameters are x and y,
which are going to represent how
you create a coordinate object.
So you give it a value
for the x-coordinate
and you give it a value
for the y-coordinate.
The self, however, is
a little bit trickier.
So the self is going
to be a parameter when
you define this
class that represents
a particular instance
of the class.
So we're defining
this coordinate object
in sort of a general way, right?</x:v>
      </x:c>
      <x:c r="L56" s="38" t="str">
        <x:v>https://www.youtube.com/watch?v=-DP1i2ZU9gk&amp;t=917s</x:v>
      </x:c>
      <x:c r="M56" s="38" t="str">
        <x:v>The candidate excerpt directly supports the answer that 'self' plays the role of a placeholder for any sort of instance when creating an object, and is used to refer to attributes and methods of an instance.</x:v>
      </x:c>
      <x:c r="N56" s="38" t="str">
        <x:v>The whole question is covered.</x:v>
      </x:c>
      <x:c r="O56" s="38" t="str">
        <x:v>baseline_m3_canonical</x:v>
      </x:c>
      <x:c r="P56" s="38" t="str">
        <x:v>supports</x:v>
      </x:c>
      <x:c r="Q56" s="38" t="str">
        <x:v>Directly says self represents a particular instance of the class.</x:v>
      </x:c>
      <x:c r="R56" s="38" t="str">
        <x:v>canonical_reuse</x:v>
      </x:c>
    </x:row>
    <x:row r="57" ht="74" customHeight="1">
      <x:c r="A57" s="38" t="str">
        <x:v>mit60001-q-030|-DP1i2ZU9gk:semantic_cosine_wp240_v1:22</x:v>
      </x:c>
      <x:c r="B57" s="38" t="str">
        <x:v>mit60001-q-030</x:v>
      </x:c>
      <x:c r="C57" s="38" t="str">
        <x:v>evaluated_37</x:v>
      </x:c>
      <x:c r="D57" s="38" t="str">
        <x:v>What role does self play when a method is called on an object?</x:v>
      </x:c>
      <x:c r="E57" s="38" t="str">
        <x:v>- self represents the particular instance on which a method operates.
- Instance attributes are referenced with self.attribute, and self is the first parameter of an instance method.</x:v>
      </x:c>
      <x:c r="F57" s="38" t="str">
        <x:v>candidate_v2_e2
current_control_e1</x:v>
      </x:c>
      <x:c r="G57" s="38" t="str">
        <x:v>True</x:v>
      </x:c>
      <x:c r="H57" s="38" t="str">
        <x:v>True</x:v>
      </x:c>
      <x:c r="I57" s="38" t="str">
        <x:v>-DP1i2ZU9gk:semantic_cosine_wp240_v1:22</x:v>
      </x:c>
      <x:c r="J57" s="38" t="str">
        <x:v>2</x:v>
      </x:c>
      <x:c r="K57" s="38" t="str">
        <x:v>We don't have a
specific instance
yet because we haven't
created an object yet.
But this self is
going to be sort
of a placeholder for
any sort of instance
when you create the object.
So in the definition
of the class,
whenever you want to
refer to attributes
that belong to an instance,
you have to use self dot.
So this dot notation.
And the dot is going to say
look for a data attribute
x that belongs to this class.
So for methods that
belong to the class,
the first parameter is
always going to be self.
It can be named
anything you want,
but really by convention
it's always named self.
So try to stick to that.
And then any other
parameters beyond it
are going to be just
parameters as you
would put in a normal function.
OK.
In this particular
case, we're going</x:v>
      </x:c>
      <x:c r="L57" s="38" t="str">
        <x:v>https://www.youtube.com/watch?v=-DP1i2ZU9gk&amp;t=954s</x:v>
      </x:c>
      <x:c r="M57" s="38" t="str">
        <x:v>The candidate excerpt directly supports the answer that 'self' plays the role of a placeholder for any sort of instance when creating an object, and is used to refer to attributes and methods of an instance.</x:v>
      </x:c>
      <x:c r="N57" s="38" t="str">
        <x:v>The whole question is covered.</x:v>
      </x:c>
      <x:c r="O57" s="38" t="str">
        <x:v>baseline_m3_canonical</x:v>
      </x:c>
      <x:c r="P57" s="38" t="str">
        <x:v>supports</x:v>
      </x:c>
      <x:c r="Q57" s="38" t="str">
        <x:v>Directly explains self as the first method parameter and self.attribute notation for instance attributes.</x:v>
      </x:c>
      <x:c r="R57" s="38" t="str">
        <x:v>canonical_reuse</x:v>
      </x:c>
    </x:row>
    <x:row r="58" ht="74" customHeight="1">
      <x:c r="A58" s="38" t="str">
        <x:v>mit60001-q-030|FlGjISF3l78:semantic_cosine_wp240_v1:5</x:v>
      </x:c>
      <x:c r="B58" s="38" t="str">
        <x:v>mit60001-q-030</x:v>
      </x:c>
      <x:c r="C58" s="38" t="str">
        <x:v>evaluated_37</x:v>
      </x:c>
      <x:c r="D58" s="38" t="str">
        <x:v>What role does self play when a method is called on an object?</x:v>
      </x:c>
      <x:c r="E58" s="38" t="str">
        <x:v>- self represents the particular instance on which a method operates.
- Instance attributes are referenced with self.attribute, and self is the first parameter of an instance method.</x:v>
      </x:c>
      <x:c r="F58" s="38" t="str">
        <x:v>candidate_v2_e2
current_control_e1</x:v>
      </x:c>
      <x:c r="G58" s="38" t="str">
        <x:v>True</x:v>
      </x:c>
      <x:c r="H58" s="38" t="str">
        <x:v>True</x:v>
      </x:c>
      <x:c r="I58" s="38" t="str">
        <x:v>FlGjISF3l78:semantic_cosine_wp240_v1:5</x:v>
      </x:c>
      <x:c r="J58" s="38" t="str">
        <x:v>3</x:v>
      </x:c>
      <x:c r="K58" s="38" t="str">
        <x:v>attributes of any instance.
So we use this
self variable, OK?
And the self variable
we used to refer
to any instance-- to the data
attributes of any instance
in a general way
without actually
having a particular
instance in mind, OK?
So whenever we access
data attributes,
we would say something like self
dot to access a data attribute.
You'd access the attribute
directly with self.x.
Or if you wanted
to access a method,
you would say self, dot,
and then the method name--
for example, distance.
And really, the bottom line
of the class definition
is that your class defines
all of the data-- so data
attributes-- and
all of the methods</x:v>
      </x:c>
      <x:c r="L58" s="38" t="str">
        <x:v>https://www.youtube.com/watch?v=FlGjISF3l78&amp;t=239s</x:v>
      </x:c>
      <x:c r="M58" s="38" t="str">
        <x:v>The candidate excerpt directly supports the answer that 'self' plays the role of a placeholder for any sort of instance when creating an object, and is used to refer to attributes and methods of an instance.</x:v>
      </x:c>
      <x:c r="N58" s="38" t="str">
        <x:v>The whole question is covered.</x:v>
      </x:c>
      <x:c r="O58" s="38" t="str">
        <x:v>baseline_m3_canonical</x:v>
      </x:c>
      <x:c r="P58" s="38" t="str">
        <x:v>supports</x:v>
      </x:c>
      <x:c r="Q58" s="38" t="str">
        <x:v>Directly explains using self to refer generically to instance data attributes and methods.</x:v>
      </x:c>
      <x:c r="R58" s="38" t="str">
        <x:v>canonical_reuse</x:v>
      </x:c>
    </x:row>
    <x:row r="59" ht="74" customHeight="1">
      <x:c r="A59" s="38" t="str">
        <x:v>mit60001-q-031|RvRKT-jXvko:semantic_cosine_wp240_v1:37</x:v>
      </x:c>
      <x:c r="B59" s="38" t="str">
        <x:v>mit60001-q-031</x:v>
      </x:c>
      <x:c r="C59" s="38" t="str">
        <x:v>evaluated_37</x:v>
      </x:c>
      <x:c r="D59" s="38" t="str">
        <x:v>What happens when a list is mutated through one of several aliases?</x:v>
      </x:c>
      <x:c r="E59" s="38" t="str">
        <x:v>- All aliases point to the same mutable list object in memory.
- Mutating the list through one alias changes that shared object, so the changed value is visible through every alias.</x:v>
      </x:c>
      <x:c r="F59" s="38" t="str">
        <x:v>candidate_v2_e2</x:v>
      </x:c>
      <x:c r="G59" s="38" t="str">
        <x:v>False</x:v>
      </x:c>
      <x:c r="H59" s="38" t="str">
        <x:v>True</x:v>
      </x:c>
      <x:c r="I59" s="38" t="str">
        <x:v>RvRKT-jXvko:semantic_cosine_wp240_v1:37</x:v>
      </x:c>
      <x:c r="J59" s="38" t="str">
        <x:v>2</x:v>
      </x:c>
      <x:c r="K59" s="38" t="str">
        <x:v>and expect it to be
the mutated list.
The list got mutated.
The list that got
mutated is the list
that was passed into to here.
We're going look at one
example in a few slides that's
going to show this.
OK.
Another thing that we can do,
and this is often useful when
you're working with
data, is to convert lists
to strings and then
strings to lists.
Sometimes it might be useful
to work with strings as opposed
to a list and vice versa.
So this first line here,
list s takes in a string
and casts it to a list.
So much like when we cast
a float to an integer,
for example.
You're just casting a
string to a list here.
And when you do
that up this line--
so if this is your s
here-- when you do list s,</x:v>
      </x:c>
      <x:c r="L59" s="38" t="str">
        <x:v>https://www.youtube.com/watch?v=RvRKT-jXvko&amp;t=1583s</x:v>
      </x:c>
      <x:c r="M59" s="38" t="str"/>
      <x:c r="N59" s="38" t="str">
        <x:v>The evidence supports the requested behavior of lists being mutated through aliases.</x:v>
      </x:c>
      <x:c r="O59" s="38" t="str"/>
      <x:c r="P59" s="38" t="str"/>
      <x:c r="Q59" s="38" t="str"/>
      <x:c r="R59" s="38" t="str">
        <x:v>pending</x:v>
      </x:c>
    </x:row>
    <x:row r="60" ht="74" customHeight="1">
      <x:c r="A60" s="38" t="str">
        <x:v>mit60001-q-031|RvRKT-jXvko:semantic_cosine_wp240_v1:47</x:v>
      </x:c>
      <x:c r="B60" s="38" t="str">
        <x:v>mit60001-q-031</x:v>
      </x:c>
      <x:c r="C60" s="38" t="str">
        <x:v>evaluated_37</x:v>
      </x:c>
      <x:c r="D60" s="38" t="str">
        <x:v>What happens when a list is mutated through one of several aliases?</x:v>
      </x:c>
      <x:c r="E60" s="38" t="str">
        <x:v>- All aliases point to the same mutable list object in memory.
- Mutating the list through one alias changes that shared object, so the changed value is visible through every alias.</x:v>
      </x:c>
      <x:c r="F60" s="38" t="str">
        <x:v>current_control_e1</x:v>
      </x:c>
      <x:c r="G60" s="38" t="str">
        <x:v>True</x:v>
      </x:c>
      <x:c r="H60" s="38" t="str">
        <x:v>False</x:v>
      </x:c>
      <x:c r="I60" s="38" t="str">
        <x:v>RvRKT-jXvko:semantic_cosine_wp240_v1:47</x:v>
      </x:c>
      <x:c r="J60" s="38" t="str">
        <x:v>1</x:v>
      </x:c>
      <x:c r="K60" s="38" t="str">
        <x:v>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c r="L60" s="38" t="str">
        <x:v>https://www.youtube.com/watch?v=RvRKT-jXvko&amp;t=1995s</x:v>
      </x:c>
      <x:c r="M60" s="38" t="str">
        <x:v>The candidate excerpt directly supports the answer that when a list is mutated through one of several aliases, all the aliases will refer to the same person object with the changed attributes.</x:v>
      </x:c>
      <x:c r="N60" s="38" t="str"/>
      <x:c r="O60" s="38" t="str">
        <x:v>baseline_m3_canonical</x:v>
      </x:c>
      <x:c r="P60" s="38" t="str">
        <x:v>supports</x:v>
      </x:c>
      <x:c r="Q60" s="38" t="str">
        <x:v>Directly explains aliases referring to the same mutable object and all aliases seeing the changed object.</x:v>
      </x:c>
      <x:c r="R60" s="38" t="str">
        <x:v>canonical_reuse</x:v>
      </x:c>
    </x:row>
    <x:row r="61" ht="74" customHeight="1">
      <x:c r="A61" s="38" t="str">
        <x:v>mit60001-q-031|RvRKT-jXvko:semantic_cosine_wp240_v1:49</x:v>
      </x:c>
      <x:c r="B61" s="38" t="str">
        <x:v>mit60001-q-031</x:v>
      </x:c>
      <x:c r="C61" s="38" t="str">
        <x:v>evaluated_37</x:v>
      </x:c>
      <x:c r="D61" s="38" t="str">
        <x:v>What happens when a list is mutated through one of several aliases?</x:v>
      </x:c>
      <x:c r="E61" s="38" t="str">
        <x:v>- All aliases point to the same mutable list object in memory.
- Mutating the list through one alias changes that shared object, so the changed value is visible through every alias.</x:v>
      </x:c>
      <x:c r="F61" s="38" t="str">
        <x:v>candidate_v2_e2</x:v>
      </x:c>
      <x:c r="G61" s="38" t="str">
        <x:v>False</x:v>
      </x:c>
      <x:c r="H61" s="38" t="str">
        <x:v>True</x:v>
      </x:c>
      <x:c r="I61" s="38" t="str">
        <x:v>RvRKT-jXvko:semantic_cosine_wp240_v1:49</x:v>
      </x:c>
      <x:c r="J61" s="38" t="str">
        <x:v>3</x:v>
      </x:c>
      <x:c r="K61" s="38" t="str">
        <x:v>So I have warm is a variable.
And it's going to be
equal to this list.
So warm is going to
point to this list here.
Red, yellow, orange.
It contains three elements.
Hot is equal to warm.
It means I'm creating
an alias for this list.
And the alias is going to
be with this variable hot.
So notice warm and hot point
to the exact same object.
So on line 8 when I append
this string pink to my object,
since both of
these two variables
point to the exact
same object, if I'm
trying to access this object
through either variable,
they're both going to
print out the same thing.</x:v>
      </x:c>
      <x:c r="L61" s="38" t="str">
        <x:v>https://www.youtube.com/watch?v=RvRKT-jXvko&amp;t=2061s</x:v>
      </x:c>
      <x:c r="M61" s="38" t="str"/>
      <x:c r="N61" s="38" t="str">
        <x:v>The evidence supports the requested behavior of lists being mutated through aliases.</x:v>
      </x:c>
      <x:c r="O61" s="38" t="str"/>
      <x:c r="P61" s="38" t="str"/>
      <x:c r="Q61" s="38" t="str"/>
      <x:c r="R61" s="38" t="str">
        <x:v>pending</x:v>
      </x:c>
    </x:row>
    <x:row r="62" ht="74" customHeight="1">
      <x:c r="A62" s="38" t="str">
        <x:v>mit60001-q-033|MjbuarJ7SE0:semantic_cosine_wp240_v1:13</x:v>
      </x:c>
      <x:c r="B62" s="38" t="str">
        <x:v>mit60001-q-033</x:v>
      </x:c>
      <x:c r="C62" s="38" t="str">
        <x:v>evaluated_37</x:v>
      </x:c>
      <x:c r="D62" s="38" t="str">
        <x:v>How does the course connect decomposition and abstraction when building programs with functions?</x:v>
      </x:c>
      <x:c r="E62" s="38" t="str">
        <x:v>- Decomposition creates structure by splitting a program into functional units.
- Abstraction suppresses implementation details behind a function specification or docstring.
- Once a task is implemented as a function, it can be reused without rewriting the code or knowing its internal details.</x:v>
      </x:c>
      <x:c r="F62" s="38" t="str">
        <x:v>candidate_v2_e2
current_control_e1</x:v>
      </x:c>
      <x:c r="G62" s="38" t="str">
        <x:v>True</x:v>
      </x:c>
      <x:c r="H62" s="38" t="str">
        <x:v>True</x:v>
      </x:c>
      <x:c r="I62" s="38" t="str">
        <x:v>MjbuarJ7SE0:semantic_cosine_wp240_v1:13</x:v>
      </x:c>
      <x:c r="J62" s="38" t="str">
        <x:v>2</x:v>
      </x:c>
      <x:c r="K62" s="38" t="str">
        <x:v>OK so decomposition is creating
structure in your code.
And abstraction is the idea
of suppressing details.
So in the projector example,
remember, abstraction
was you didn't need to know
exactly how the projector
worked in order to use it.
And it's going to be the
same idea in programming.
So once you write a piece of
code that does a little task,
you don't need to rewrite
that piece of code many times.
You've written it
once, and you write
this thing called a function
specification for it,
or a docstring.
And this is a piece of
text that tells anyone
else who would want to use it
in the future-- other people,
maybe yourself-- it tells
them how to use this function.</x:v>
      </x:c>
      <x:c r="L62" s="38" t="str">
        <x:v>https://www.youtube.com/watch?v=MjbuarJ7SE0&amp;t=548s</x:v>
      </x:c>
      <x:c r="M62" s="38" t="str">
        <x:v>The candidate excerpt at rank 2 directly supports the answer by explaining that abstraction is the idea of suppressing details, and in programming, it means you don't need to know exactly how a function works in order to use it.</x:v>
      </x:c>
      <x:c r="N62" s="38" t="str">
        <x:v>The evidence supports both sides of the question and provides direct support for the requested contrast.</x:v>
      </x:c>
      <x:c r="O62" s="38" t="str">
        <x:v>baseline_m3_canonical</x:v>
      </x:c>
      <x:c r="P62" s="38" t="str">
        <x:v>supports</x:v>
      </x:c>
      <x:c r="Q62" s="38" t="str">
        <x:v>Directly defines decomposition as code structure and abstraction as suppressing details, with functions/docstrings enabling reuse.</x:v>
      </x:c>
      <x:c r="R62" s="38" t="str">
        <x:v>canonical_reuse</x:v>
      </x:c>
    </x:row>
    <x:row r="63" ht="74" customHeight="1">
      <x:c r="A63" s="38" t="str">
        <x:v>mit60001-q-033|MjbuarJ7SE0:semantic_cosine_wp240_v1:54</x:v>
      </x:c>
      <x:c r="B63" s="38" t="str">
        <x:v>mit60001-q-033</x:v>
      </x:c>
      <x:c r="C63" s="38" t="str">
        <x:v>evaluated_37</x:v>
      </x:c>
      <x:c r="D63" s="38" t="str">
        <x:v>How does the course connect decomposition and abstraction when building programs with functions?</x:v>
      </x:c>
      <x:c r="E63" s="38" t="str">
        <x:v>- Decomposition creates structure by splitting a program into functional units.
- Abstraction suppresses implementation details behind a function specification or docstring.
- Once a task is implemented as a function, it can be reused without rewriting the code or knowing its internal details.</x:v>
      </x:c>
      <x:c r="F63" s="38" t="str">
        <x:v>candidate_v2_e2</x:v>
      </x:c>
      <x:c r="G63" s="38" t="str">
        <x:v>False</x:v>
      </x:c>
      <x:c r="H63" s="38" t="str">
        <x:v>True</x:v>
      </x:c>
      <x:c r="I63" s="38" t="str">
        <x:v>MjbuarJ7SE0:semantic_cosine_wp240_v1:54</x:v>
      </x:c>
      <x:c r="J63" s="38" t="str">
        <x:v>3</x:v>
      </x:c>
      <x:c r="K63" s="38" t="str">
        <x:v>So that's sort of
showing nested functions.
All right just circling back
to decomposition-abstraction.
This is the last slide.
You can see if you look
at the code associated
with today's lecture, there
are some other examples
where you can see
just how powerful it
is to use functions.
And you can write really
clean and simple code
if you define your own functions
and then just use them later.
And the beauty of defining
your own functions
that you can use
multiple times later
is you only have to debug
the function once right?
I know debugging is not
your favorite thing,
but you only have to
debug this one thing once,
and then you can know that
it's right and it works well,
and you can just use
it multiple times.
All right thanks everyone.</x:v>
      </x:c>
      <x:c r="L63" s="38" t="str">
        <x:v>https://www.youtube.com/watch?v=MjbuarJ7SE0&amp;t=2418s</x:v>
      </x:c>
      <x:c r="M63" s="38" t="str"/>
      <x:c r="N63" s="38" t="str">
        <x:v>The evidence supports both sides of the question and provides direct support for the requested contrast.</x:v>
      </x:c>
      <x:c r="O63" s="38" t="str"/>
      <x:c r="P63" s="38" t="str"/>
      <x:c r="Q63" s="38" t="str"/>
      <x:c r="R63" s="38" t="str">
        <x:v>pending</x:v>
      </x:c>
    </x:row>
    <x:row r="64" ht="74" customHeight="1">
      <x:c r="A64" s="38" t="str">
        <x:v>mit60001-q-034|9H6muyZjms0:semantic_cosine_wp240_v1:25</x:v>
      </x:c>
      <x:c r="B64" s="38" t="str">
        <x:v>mit60001-q-034</x:v>
      </x:c>
      <x:c r="C64" s="38" t="str">
        <x:v>evaluated_37</x:v>
      </x:c>
      <x:c r="D64" s="38" t="str">
        <x:v>How does the course connect testing and debugging when finding program errors?</x:v>
      </x:c>
      <x:c r="E64" s="38" t="str">
        <x:v>- Testing uses expected and actual results to identify what is wrong.
- Debugging then determines how or why the bad result occurred and pinpoints the responsible line, lines, or function.</x:v>
      </x:c>
      <x:c r="F64" s="38" t="str">
        <x:v>candidate_v2_e2
current_control_e1</x:v>
      </x:c>
      <x:c r="G64" s="38" t="str">
        <x:v>True</x:v>
      </x:c>
      <x:c r="H64" s="38" t="str">
        <x:v>True</x:v>
      </x:c>
      <x:c r="I64" s="38" t="str">
        <x:v>9H6muyZjms0:semantic_cosine_wp240_v1:25</x:v>
      </x:c>
      <x:c r="J64" s="38" t="str">
        <x:v>2</x:v>
      </x:c>
      <x:c r="K64" s="38" t="str">
        <x:v>that that's giving
you the bad results.
So the general debugging steps
is to study the program code.
Don't ask what is wrong,
because that's actually
part of the testing.
So your test cases would have
figured out what's wrong.
The debugging process
is figuring out
how the result took place.
And since programming is--
programming and debugging
is, sort of, is a science, you
can use the scientific method
as well.
So look at all the data,
that's your test cases.
Figure out a hypothesis.
Maybe say, oh, maybe I'm
indexing from 1 instead of 0
in lists, for example.
Come up with an experiment
that you can repeat.
And then pick a
simple test case then
you can test your
hypothesis with.
So as you're debugging, you
will encounter error messages.
And these error
messages are actually</x:v>
      </x:c>
      <x:c r="L64" s="38" t="str">
        <x:v>https://www.youtube.com/watch?v=9H6muyZjms0&amp;t=1035s</x:v>
      </x:c>
      <x:c r="M64" s="38" t="str">
        <x:v>The candidate excerpt directly supports the answer by explaining how the course connects testing and debugging when finding program errors, stating that the debugging process is figuring out how the result took place and using the scientific method to study test cases and come up with hypotheses.</x:v>
      </x:c>
      <x:c r="N64" s="38" t="str">
        <x:v>The evidence supports the connection between testing and debugging when finding program errors.</x:v>
      </x:c>
      <x:c r="O64" s="38" t="str">
        <x:v>baseline_m3_canonical</x:v>
      </x:c>
      <x:c r="P64" s="38" t="str">
        <x:v>supports</x:v>
      </x:c>
      <x:c r="Q64" s="38" t="str">
        <x:v>Directly separates testing (what is wrong) from debugging (how the result occurred) and describes hypothesis-driven debugging.</x:v>
      </x:c>
      <x:c r="R64" s="38" t="str">
        <x:v>canonical_reuse</x:v>
      </x:c>
    </x:row>
    <x:row r="65" ht="74" customHeight="1">
      <x:c r="A65" s="38" t="str">
        <x:v>mit60001-q-034|9H6muyZjms0:semantic_cosine_wp240_v1:31</x:v>
      </x:c>
      <x:c r="B65" s="38" t="str">
        <x:v>mit60001-q-034</x:v>
      </x:c>
      <x:c r="C65" s="38" t="str">
        <x:v>evaluated_37</x:v>
      </x:c>
      <x:c r="D65" s="38" t="str">
        <x:v>How does the course connect testing and debugging when finding program errors?</x:v>
      </x:c>
      <x:c r="E65" s="38" t="str">
        <x:v>- Testing uses expected and actual results to identify what is wrong.
- Debugging then determines how or why the bad result occurred and pinpoints the responsible line, lines, or function.</x:v>
      </x:c>
      <x:c r="F65" s="38" t="str">
        <x:v>candidate_v2_e2</x:v>
      </x:c>
      <x:c r="G65" s="38" t="str">
        <x:v>False</x:v>
      </x:c>
      <x:c r="H65" s="38" t="str">
        <x:v>True</x:v>
      </x:c>
      <x:c r="I65" s="38" t="str">
        <x:v>9H6muyZjms0:semantic_cosine_wp240_v1:31</x:v>
      </x:c>
      <x:c r="J65" s="38" t="str">
        <x:v>1</x:v>
      </x:c>
      <x:c r="K65" s="38" t="str">
        <x:v>to testing and debugging.
The rest of the class will
be on the error messages,
or on errors that you
will get in your programs.
So when your functions--
when you run functions,
or when you run your
program, at some point,
the program execution
is going to stop.
Maybe it encountered
an error because
of some unexpected condition.
And when that happens
you get an exception.
So the error is
called an exception.
And it's called an exception
because it was an exception
to what was expected.
To what the program expected.
So all of these errors
that I've talked
about in the previous
slides are actually
examples of exceptions.
And there are actually
many other types
of exceptions, which you'll
see as you go on in this course</x:v>
      </x:c>
      <x:c r="L65" s="38" t="str">
        <x:v>https://www.youtube.com/watch?v=9H6muyZjms0&amp;t=1286s</x:v>
      </x:c>
      <x:c r="M65" s="38" t="str"/>
      <x:c r="N65" s="38" t="str">
        <x:v>The evidence supports the connection between testing and debugging when finding program errors.</x:v>
      </x:c>
      <x:c r="O65" s="38" t="str"/>
      <x:c r="P65" s="38" t="str"/>
      <x:c r="Q65" s="38" t="str"/>
      <x:c r="R65" s="38" t="str">
        <x:v>pending</x:v>
      </x:c>
    </x:row>
    <x:row r="66" ht="74" customHeight="1">
      <x:c r="A66" s="38" t="str">
        <x:v>mit60001-q-035|RvRKT-jXvko:semantic_cosine_wp240_v1:47</x:v>
      </x:c>
      <x:c r="B66" s="38" t="str">
        <x:v>mit60001-q-035</x:v>
      </x:c>
      <x:c r="C66" s="38" t="str">
        <x:v>evaluated_37</x:v>
      </x:c>
      <x:c r="D66" s="38" t="str">
        <x:v>How does the course connect list aliasing with mutation side effects?</x:v>
      </x:c>
      <x:c r="E66" s="38" t="str">
        <x:v>- Aliasing means two names can point to the same list object.
- Because the list is mutable, a change made through one alias changes the shared object and appears through the other alias.
- This shared visible change is a mutation side effect.</x:v>
      </x:c>
      <x:c r="F66" s="38" t="str">
        <x:v>candidate_v2_e2</x:v>
      </x:c>
      <x:c r="G66" s="38" t="str">
        <x:v>False</x:v>
      </x:c>
      <x:c r="H66" s="38" t="str">
        <x:v>True</x:v>
      </x:c>
      <x:c r="I66" s="38" t="str">
        <x:v>RvRKT-jXvko:semantic_cosine_wp240_v1:47</x:v>
      </x:c>
      <x:c r="J66" s="38" t="str">
        <x:v>1</x:v>
      </x:c>
      <x:c r="K66" s="38" t="str">
        <x:v>all of his nicknames
are going to refer
to this exact same person.
So all of his
nicknames or aliases
will refer to the
same person object
with these changed attributes.
Does that makes sense?
OK.
So that sort of idea
arises in lists.
So a list is like
a person object
whose value-- whose attributes
can change, for example.
And as they change, all
of the different aliases
for this object will point
to this changed object.
So let's see a few examples.
I apologize if this
is a little small,</x:v>
      </x:c>
      <x:c r="L66" s="38" t="str">
        <x:v>https://www.youtube.com/watch?v=RvRKT-jXvko&amp;t=1995s</x:v>
      </x:c>
      <x:c r="M66" s="38" t="str"/>
      <x:c r="N66" s="38" t="str">
        <x:v>The evidence supports both sides of the question and provides direct support for the requested mechanism.</x:v>
      </x:c>
      <x:c r="O66" s="38" t="str"/>
      <x:c r="P66" s="38" t="str"/>
      <x:c r="Q66" s="38" t="str"/>
      <x:c r="R66" s="38" t="str">
        <x:v>pending</x:v>
      </x:c>
    </x:row>
    <x:row r="67" ht="74" customHeight="1">
      <x:c r="A67" s="38" t="str">
        <x:v>mit60001-q-035|WPSeyjX1-4s:semantic_cosine_wp240_v1:1</x:v>
      </x:c>
      <x:c r="B67" s="38" t="str">
        <x:v>mit60001-q-035</x:v>
      </x:c>
      <x:c r="C67" s="38" t="str">
        <x:v>evaluated_37</x:v>
      </x:c>
      <x:c r="D67" s="38" t="str">
        <x:v>How does the course connect list aliasing with mutation side effects?</x:v>
      </x:c>
      <x:c r="E67" s="38" t="str">
        <x:v>- Aliasing means two names can point to the same list object.
- Because the list is mutable, a change made through one alias changes the shared object and appears through the other alias.
- This shared visible change is a mutation side effect.</x:v>
      </x:c>
      <x:c r="F67" s="38" t="str">
        <x:v>candidate_v2_e2
current_control_e1</x:v>
      </x:c>
      <x:c r="G67" s="38" t="str">
        <x:v>True</x:v>
      </x:c>
      <x:c r="H67" s="38" t="str">
        <x:v>True</x:v>
      </x:c>
      <x:c r="I67" s="38" t="str">
        <x:v>WPSeyjX1-4s:semantic_cosine_wp240_v1:1</x:v>
      </x:c>
      <x:c r="J67" s="38" t="str">
        <x:v>2</x:v>
      </x:c>
      <x:c r="K67" s="38" t="str">
        <x:v>OK last time Ana introduced
the first of the compound data
types, tuples and lists.
She showed lots of ways
of manipulating them,
lots of built in things for
manipulating those structures.
And the key difference
between the two of them
was that tuples were immutable,
meaning you could not
change them, lists
were mutable, they
could be changed, or mutated.
And that led to both some nice
power and some opportunities
for challenges.
And, in particular, she showed
you things like aliasing,
where you could have two names
pointing to the same list
structure, and
because of that, you
could change the
contents of one,
it would change the appearance
of the contents of the other,
and that leads to
some nice challenges.
So the side effects
of mutability
are one of the things you're
going to see, both as a plus
and minus, as we go
through the course.</x:v>
      </x:c>
      <x:c r="L67" s="38" t="str">
        <x:v>https://www.youtube.com/watch?v=WPSeyjX1-4s&amp;t=53s</x:v>
      </x:c>
      <x:c r="M67" s="38" t="str">
        <x:v>The candidate excerpt at rank 2 directly supports the answer by explaining how lists are mutable and can lead to aliasing, where two names point to the same list structure, and changing the contents of one list affects the appearance of the other.</x:v>
      </x:c>
      <x:c r="N67" s="38" t="str">
        <x:v>The evidence supports both sides of the question and provides direct support for the requested mechanism.</x:v>
      </x:c>
      <x:c r="O67" s="38" t="str">
        <x:v>baseline_m3_canonical</x:v>
      </x:c>
      <x:c r="P67" s="38" t="str">
        <x:v>supports</x:v>
      </x:c>
      <x:c r="Q67" s="38" t="str">
        <x:v>Directly explains list mutability, aliasing, shared changes, and the resulting side effects.</x:v>
      </x:c>
      <x:c r="R67" s="38" t="str">
        <x:v>canonical_reuse</x:v>
      </x:c>
    </x:row>
    <x:row r="68" ht="74" customHeight="1">
      <x:c r="A68" s="38" t="str">
        <x:v>mit60001-q-038|6LOwPhPDwVc:semantic_cosine_wp240_v1:14</x:v>
      </x:c>
      <x:c r="B68" s="38" t="str">
        <x:v>mit60001-q-038</x:v>
      </x:c>
      <x:c r="C68" s="38" t="str">
        <x:v>evaluated_37</x:v>
      </x:c>
      <x:c r="D68" s="38" t="str">
        <x:v>How does the requirement for sorted input distinguish binary search from linear search?</x:v>
      </x:c>
      <x:c r="E68" s="38" t="str">
        <x:v>- Bisection search requires the list to be sorted, and the ordering lets it cut down the size of the remaining search problem.
- Linear search does not require sorted input and may scan through the list until it finds the target or reaches the end.</x:v>
      </x:c>
      <x:c r="F68" s="38" t="str">
        <x:v>candidate_v2_e2
current_control_e1</x:v>
      </x:c>
      <x:c r="G68" s="38" t="str">
        <x:v>True</x:v>
      </x:c>
      <x:c r="H68" s="38" t="str">
        <x:v>True</x:v>
      </x:c>
      <x:c r="I68" s="38" t="str">
        <x:v>6LOwPhPDwVc:semantic_cosine_wp240_v1:14</x:v>
      </x:c>
      <x:c r="J68" s="38" t="str">
        <x:v>1</x:v>
      </x:c>
      <x:c r="K68" s="38" t="str">
        <x:v>Could just use linear search.
It's going to be linear.
When you use binary search
or bisection search,
we can do it in log time.
That's great.
We assumed the list was
sorted, but all right.
So that lens basically says, OK.
So when does it make
sense to sort the list
and then do the search?
Right?
Because if I can sort
the list cheaply,
then the search is
going to be logarithmic.
That's really what I would like.</x:v>
      </x:c>
      <x:c r="L68" s="38" t="str">
        <x:v>https://www.youtube.com/watch?v=6LOwPhPDwVc&amp;t=477s</x:v>
      </x:c>
      <x:c r="M68" s="38" t="str">
        <x:v>The candidate excerpt directly supports the answer by stating that the requirement for sorted input distinguishes binary search from linear search, as binary search can be done in log time, whereas linear search has a linear time complexity.</x:v>
      </x:c>
      <x:c r="N68" s="38" t="str">
        <x:v>The evidence supports both sides of the question and the requested contrast between binary search and linear search.</x:v>
      </x:c>
      <x:c r="O68" s="38" t="str">
        <x:v>baseline_m3_canonical</x:v>
      </x:c>
      <x:c r="P68" s="38" t="str">
        <x:v>supports</x:v>
      </x:c>
      <x:c r="Q68" s="38" t="str">
        <x:v>States that binary/bisection search assumes sorted input and contrasts its logarithmic search with linear search; this is valid semantic support despite no GT time overlap.</x:v>
      </x:c>
      <x:c r="R68" s="38" t="str">
        <x:v>canonical_reuse</x:v>
      </x:c>
    </x:row>
    <x:row r="69" ht="74" customHeight="1">
      <x:c r="A69" s="38" t="str">
        <x:v>mit60001-q-038|7lQXYl_L28w:semantic_cosine_wp240_v1:13</x:v>
      </x:c>
      <x:c r="B69" s="38" t="str">
        <x:v>mit60001-q-038</x:v>
      </x:c>
      <x:c r="C69" s="38" t="str">
        <x:v>evaluated_37</x:v>
      </x:c>
      <x:c r="D69" s="38" t="str">
        <x:v>How does the requirement for sorted input distinguish binary search from linear search?</x:v>
      </x:c>
      <x:c r="E69" s="38" t="str">
        <x:v>- Bisection search requires the list to be sorted, and the ordering lets it cut down the size of the remaining search problem.
- Linear search does not require sorted input and may scan through the list until it finds the target or reaches the end.</x:v>
      </x:c>
      <x:c r="F69" s="38" t="str">
        <x:v>candidate_v2_e2</x:v>
      </x:c>
      <x:c r="G69" s="38" t="str">
        <x:v>False</x:v>
      </x:c>
      <x:c r="H69" s="38" t="str">
        <x:v>True</x:v>
      </x:c>
      <x:c r="I69" s="38" t="str">
        <x:v>7lQXYl_L28w:semantic_cosine_wp240_v1:13</x:v>
      </x:c>
      <x:c r="J69" s="38" t="str">
        <x:v>3</x:v>
      </x:c>
      <x:c r="K69" s="38" t="str">
        <x:v>You saw an example much
earlier in the term when Ana
showed you bisection search.
It was searching for a number
with a particular property.
I want to show you
another example,
both to let you recognize
the form of the algorithm,
but especially, to show you how
we can reason about the growth.
And that's another trick
called binary search
or, again, it's a version
of bisection search.
Suppose I give you a list,
a list of numbers, integers.
And I want to know if
a particular element is
in that list.
We saw, last time, you could
just walk down the list, just
iterate through the entire list
looking to see if it's there.</x:v>
      </x:c>
      <x:c r="L69" s="38" t="str">
        <x:v>https://www.youtube.com/watch?v=7lQXYl_L28w&amp;t=478s</x:v>
      </x:c>
      <x:c r="M69" s="38" t="str"/>
      <x:c r="N69" s="38" t="str">
        <x:v>The evidence supports both sides of the question and the requested contrast between binary search and linear search.</x:v>
      </x:c>
      <x:c r="O69" s="38" t="str"/>
      <x:c r="P69" s="38" t="str"/>
      <x:c r="Q69" s="38" t="str"/>
      <x:c r="R69" s="38" t="str">
        <x:v>pending</x:v>
      </x:c>
    </x:row>
    <x:row r="70" ht="74" customHeight="1">
      <x:c r="A70" s="38" t="str">
        <x:v>mit60001-q-038|o9nW0uBqvEo:semantic_cosine_wp240_v1:70</x:v>
      </x:c>
      <x:c r="B70" s="38" t="str">
        <x:v>mit60001-q-038</x:v>
      </x:c>
      <x:c r="C70" s="38" t="str">
        <x:v>evaluated_37</x:v>
      </x:c>
      <x:c r="D70" s="38" t="str">
        <x:v>How does the requirement for sorted input distinguish binary search from linear search?</x:v>
      </x:c>
      <x:c r="E70" s="38" t="str">
        <x:v>- Bisection search requires the list to be sorted, and the ordering lets it cut down the size of the remaining search problem.
- Linear search does not require sorted input and may scan through the list until it finds the target or reaches the end.</x:v>
      </x:c>
      <x:c r="F70" s="38" t="str">
        <x:v>candidate_v2_e2</x:v>
      </x:c>
      <x:c r="G70" s="38" t="str">
        <x:v>False</x:v>
      </x:c>
      <x:c r="H70" s="38" t="str">
        <x:v>True</x:v>
      </x:c>
      <x:c r="I70" s="38" t="str">
        <x:v>o9nW0uBqvEo:semantic_cosine_wp240_v1:70</x:v>
      </x:c>
      <x:c r="J70" s="38" t="str">
        <x:v>2</x:v>
      </x:c>
      <x:c r="K70" s="38" t="str">
        <x:v>whether it's sorted or not.
I want you to hold
on to that idea,
because we're going to come
back to the sorted list
next week to see
that there actually
are much more efficient ways
to use the fact that a list is
sorted to do the search.
But both of these versions
same order growth, order n.
OK.
So lurching through a
list-- right, sorry--
searching through
a list in sequence
is linear because of that loop.
There are other things
that have a similar flavor.</x:v>
      </x:c>
      <x:c r="L70" s="38" t="str">
        <x:v>https://www.youtube.com/watch?v=o9nW0uBqvEo&amp;t=2689s</x:v>
      </x:c>
      <x:c r="M70" s="38" t="str"/>
      <x:c r="N70" s="38" t="str">
        <x:v>The evidence supports both sides of the question and the requested contrast between binary search and linear search.</x:v>
      </x:c>
      <x:c r="O70" s="38" t="str"/>
      <x:c r="P70" s="38" t="str"/>
      <x:c r="Q70" s="38" t="str"/>
      <x:c r="R70" s="38" t="str">
        <x:v>pending</x:v>
      </x:c>
    </x:row>
    <x:row r="71" ht="74" customHeight="1">
      <x:c r="A71" s="38" t="str">
        <x:v>mit60001-q-039|9H6muyZjms0:semantic_cosine_wp240_v1:13</x:v>
      </x:c>
      <x:c r="B71" s="38" t="str">
        <x:v>mit60001-q-039</x:v>
      </x:c>
      <x:c r="C71" s="38" t="str">
        <x:v>evaluated_37</x:v>
      </x:c>
      <x:c r="D71" s="38" t="str">
        <x:v>How does the course distinguish black-box testing from glass-box testing?</x:v>
      </x:c>
      <x:c r="E71" s="38" t="str">
        <x:v>- Black-box testing creates tests from the specification or docstring without using the implementation code.
- Glass-box testing uses the code itself to design tests that exercise its possible execution paths.</x:v>
      </x:c>
      <x:c r="F71" s="38" t="str">
        <x:v>candidate_v2_e2
current_control_e1</x:v>
      </x:c>
      <x:c r="G71" s="38" t="str">
        <x:v>True</x:v>
      </x:c>
      <x:c r="H71" s="38" t="str">
        <x:v>True</x:v>
      </x:c>
      <x:c r="I71" s="38" t="str">
        <x:v>9H6muyZjms0:semantic_cosine_wp240_v1:13</x:v>
      </x:c>
      <x:c r="J71" s="38" t="str">
        <x:v>2</x:v>
      </x:c>
      <x:c r="K71" s="38" t="str">
        <x:v>But there's actually two more
rigorous ways to do testing.
And one is black box
testing and the other one
is glass box testing.
In black box testing,
you're assuming
you have the specifications
to a function.
So that's the docstring.
All you're looking at is
the docstring and coming
up with some test
cases based on that.
In glass box testing,
you have the code
itself and you're
trying to come up
with some test cases that hit
upon all of the possible paths
through the code.
All right.
Let's look at an example
for black box testing.
I'm finding the square root of
x to some close enough value
given by this epsilon.</x:v>
      </x:c>
      <x:c r="L71" s="38" t="str">
        <x:v>https://www.youtube.com/watch?v=9H6muyZjms0&amp;t=511s</x:v>
      </x:c>
      <x:c r="M71" s="38" t="str">
        <x:v>The candidate excerpt directly supports the answer to the question 'How does the course distinguish black-box testing from glass-box testing?' by explaining the key differences between the two testing methods: black box testing relies on specifications, while glass box testing uses the code itself to guide test cases.</x:v>
      </x:c>
      <x:c r="N71" s="38" t="str">
        <x:v>The evidence supports the distinction between black-box testing and glass-box testing, covering the key aspects of each approach.</x:v>
      </x:c>
      <x:c r="O71" s="38" t="str">
        <x:v>baseline_m3_canonical</x:v>
      </x:c>
      <x:c r="P71" s="38" t="str">
        <x:v>supports</x:v>
      </x:c>
      <x:c r="Q71" s="38" t="str">
        <x:v>Directly contrasts black-box testing from specifications/docstrings with glass-box testing from code paths.</x:v>
      </x:c>
      <x:c r="R71" s="38" t="str">
        <x:v>canonical_reuse</x:v>
      </x:c>
    </x:row>
    <x:row r="72" ht="74" customHeight="1">
      <x:c r="A72" s="38" t="str">
        <x:v>mit60001-q-039|9H6muyZjms0:semantic_cosine_wp240_v1:15</x:v>
      </x:c>
      <x:c r="B72" s="38" t="str">
        <x:v>mit60001-q-039</x:v>
      </x:c>
      <x:c r="C72" s="38" t="str">
        <x:v>evaluated_37</x:v>
      </x:c>
      <x:c r="D72" s="38" t="str">
        <x:v>How does the course distinguish black-box testing from glass-box testing?</x:v>
      </x:c>
      <x:c r="E72" s="38" t="str">
        <x:v>- Black-box testing creates tests from the specification or docstring without using the implementation code.
- Glass-box testing uses the code itself to design tests that exercise its possible execution paths.</x:v>
      </x:c>
      <x:c r="F72" s="38" t="str">
        <x:v>candidate_v2_e2
current_control_e1</x:v>
      </x:c>
      <x:c r="G72" s="38" t="str">
        <x:v>True</x:v>
      </x:c>
      <x:c r="H72" s="38" t="str">
        <x:v>True</x:v>
      </x:c>
      <x:c r="I72" s="38" t="str">
        <x:v>9H6muyZjms0:semantic_cosine_wp240_v1:15</x:v>
      </x:c>
      <x:c r="J72" s="38" t="str">
        <x:v>1</x:v>
      </x:c>
      <x:c r="K72" s="38" t="str">
        <x:v>and all the possible
combinations of those.
So the important thing
about black box testing
is that you are doing you are
creating the test cases based
on the specifications only.
Glass box testing, you're
using the code itself
to guide your test cases.
So if you have a piece
of code and you come up
with a test case that goes
through every single possible
combination of input-- of
every single possible path
through the code, then that test
set is called path complete.
The problem with this is
when you encounter loops,
for example.
Every single possible
path through a loop
is maybe the code not going
through the loop at all,
going through once,
going through twice,
going through three times, four
times, five times, and so on.
Right?
Which could be a
very, very big test.
So instead there are
actually some guidelines
for when you're dealing with
loops and things like that.</x:v>
      </x:c>
      <x:c r="L72" s="38" t="str">
        <x:v>https://www.youtube.com/watch?v=9H6muyZjms0&amp;t=607s</x:v>
      </x:c>
      <x:c r="M72" s="38" t="str">
        <x:v>The candidate excerpt directly supports the answer to the question 'How does the course distinguish black-box testing from glass-box testing?' by explaining the key differences between the two testing methods: black box testing relies on specifications, while glass box testing uses the code itself to guide test cases.</x:v>
      </x:c>
      <x:c r="N72" s="38" t="str">
        <x:v>The evidence supports the distinction between black-box testing and glass-box testing, covering the key aspects of each approach.</x:v>
      </x:c>
      <x:c r="O72" s="38" t="str">
        <x:v>baseline_m3_canonical</x:v>
      </x:c>
      <x:c r="P72" s="38" t="str">
        <x:v>supports</x:v>
      </x:c>
      <x:c r="Q72" s="38" t="str">
        <x:v>Directly states that black-box tests use specifications only while glass-box tests use code to guide test cases.</x:v>
      </x:c>
      <x:c r="R72" s="38" t="str">
        <x:v>canonical_reuse</x:v>
      </x:c>
    </x:row>
    <x:row r="73" ht="74" customHeight="1">
      <x:c r="A73" s="38" t="str">
        <x:v>mit60001-q-039|9H6muyZjms0:semantic_cosine_wp240_v1:17</x:v>
      </x:c>
      <x:c r="B73" s="38" t="str">
        <x:v>mit60001-q-039</x:v>
      </x:c>
      <x:c r="C73" s="38" t="str">
        <x:v>evaluated_37</x:v>
      </x:c>
      <x:c r="D73" s="38" t="str">
        <x:v>How does the course distinguish black-box testing from glass-box testing?</x:v>
      </x:c>
      <x:c r="E73" s="38" t="str">
        <x:v>- Black-box testing creates tests from the specification or docstring without using the implementation code.
- Glass-box testing uses the code itself to design tests that exercise its possible execution paths.</x:v>
      </x:c>
      <x:c r="F73" s="38" t="str">
        <x:v>candidate_v2_e2</x:v>
      </x:c>
      <x:c r="G73" s="38" t="str">
        <x:v>False</x:v>
      </x:c>
      <x:c r="H73" s="38" t="str">
        <x:v>True</x:v>
      </x:c>
      <x:c r="I73" s="38" t="str">
        <x:v>9H6muyZjms0:semantic_cosine_wp240_v1:17</x:v>
      </x:c>
      <x:c r="J73" s="38" t="str">
        <x:v>3</x:v>
      </x:c>
      <x:c r="K73" s="38" t="str">
        <x:v>So in this example, we have
the absolute value of x.
This is its specification and
this is the implementation
that someone decided to
do for this function.
So a path complete
test set means
that you want to
have a test that
goes through each one
of these branches.
So if x is less than
minus 1, well, minus 2
is less than minus 1.
So that's good.
And otherwise, which means pick
a number greater than minus 1.
So 2.
So 2 and minus 2
are path complete.
Yield path complete-- yields
a path complete test suite.
But notice that while we've
hit upon every possible path
through this code, we've
actually missed a test case.
Minus 1.
So this code incorrectly
classifies minus 1
as returning minus
1, which is wrong.
So for glass box
testing, in addition to
making sure you're going
through all the possible paths
through the code,
you also want to make</x:v>
      </x:c>
      <x:c r="L73" s="38" t="str">
        <x:v>https://www.youtube.com/watch?v=9H6muyZjms0&amp;t=704s</x:v>
      </x:c>
      <x:c r="M73" s="38" t="str"/>
      <x:c r="N73" s="38" t="str">
        <x:v>The evidence supports the distinction between black-box testing and glass-box testing, covering the key aspects of each approach.</x:v>
      </x:c>
      <x:c r="O73" s="38" t="str"/>
      <x:c r="P73" s="38" t="str"/>
      <x:c r="Q73" s="38" t="str"/>
      <x:c r="R73" s="38" t="str">
        <x:v>pending</x:v>
      </x:c>
    </x:row>
    <x:row r="74" ht="74" customHeight="1">
      <x:c r="A74" s="38" t="str">
        <x:v>mit60001-q-040|9H6muyZjms0:semantic_cosine_wp240_v1:51</x:v>
      </x:c>
      <x:c r="B74" s="38" t="str">
        <x:v>mit60001-q-040</x:v>
      </x:c>
      <x:c r="C74" s="38" t="str">
        <x:v>evaluated_37</x:v>
      </x:c>
      <x:c r="D74" s="38" t="str">
        <x:v>How does the course distinguish an exception from an assertion failure?</x:v>
      </x:c>
      <x:c r="E74" s="38" t="str">
        <x:v>- Exceptions are appropriate for signaling or handling bad data supplied by a user.
- Assertions check programmer assumptions such as input types and other function conditions, helping expose bugs early.</x:v>
      </x:c>
      <x:c r="F74" s="38" t="str">
        <x:v>candidate_v2_e2
current_control_e1</x:v>
      </x:c>
      <x:c r="G74" s="38" t="str">
        <x:v>True</x:v>
      </x:c>
      <x:c r="H74" s="38" t="str">
        <x:v>True</x:v>
      </x:c>
      <x:c r="I74" s="38" t="str">
        <x:v>9H6muyZjms0:semantic_cosine_wp240_v1:51</x:v>
      </x:c>
      <x:c r="J74" s="38" t="str">
        <x:v>1</x:v>
      </x:c>
      <x:c r="K74" s="38" t="str">
        <x:v>If the assert is false, the
function does not continue.
It stops right there.
Why does it behave this way?
Well, assertions are
great to make sure
that preconditions and
post-conditions on functions
are exactly as you expect.
So as soon as an
assert becomes false,
the function's going to
immediately terminate.
This is useful because
it'll prevent the program
from propagating bad values.
So as soon as a precondition
isn't true, for example,
as you enter a function,
then that means something
went wrong in your program.
And the program is going
to stop right there.
So instead of
propagating a bad value
throughout the
program, and then you
getting an output that
you didn't expect,
and then you having to trace
back to the function that
gave this bad value, you'll get
this bad value, you'll get this</x:v>
      </x:c>
      <x:c r="L74" s="38" t="str">
        <x:v>https://www.youtube.com/watch?v=9H6muyZjms0&amp;t=2375s</x:v>
      </x:c>
      <x:c r="M74" s="38" t="str">
        <x:v>The candidate excerpt directly supports the answer by explaining that assertions are used to make sure assumptions on computations are exactly what the function expects them to be, and that if an assertion becomes false, the function immediately terminates.</x:v>
      </x:c>
      <x:c r="N74" s="38" t="str">
        <x:v>The evidence supports the distinction between exception and assertion failure. The selected chunk IDs are: [9H6muyZjms0:semantic_cosine_wp240_v1:51]</x:v>
      </x:c>
      <x:c r="O74" s="38" t="str">
        <x:v>baseline_m3_canonical</x:v>
      </x:c>
      <x:c r="P74" s="38" t="str">
        <x:v>does_not_support</x:v>
      </x:c>
      <x:c r="Q74" s="38" t="str">
        <x:v>Explains assertion behavior and programmer pre/postconditions, but does not provide the exception/user-bad-data side needed to distinguish exceptions from assertion failures.</x:v>
      </x:c>
      <x:c r="R74" s="38" t="str">
        <x:v>canonical_reuse</x:v>
      </x:c>
    </x:row>
  </x:sheetData>
  <x:pageMargins left="0.7" right="0.7" top="0.75" bottom="0.75" header="0.3" footer="0.3"/>
  <x:tableParts count="1">
    <x:tablePart xmlns:r="http://schemas.openxmlformats.org/officeDocument/2006/relationships" r:id="Rad07ad74a40f44b2"/>
  </x:tableParts>
</x:worksheet>
</file>