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a8bb00912f4926" /></Relationships>
</file>

<file path=xl/workbook.xml><?xml version="1.0" encoding="utf-8"?>
<x:workbook xmlns:x="http://schemas.openxmlformats.org/spreadsheetml/2006/main">
  <x:sheets>
    <x:sheet xmlns:r="http://schemas.openxmlformats.org/officeDocument/2006/relationships" name="Summary" sheetId="1" r:id="R3730e3ff6910400b"/>
    <x:sheet xmlns:r="http://schemas.openxmlformats.org/officeDocument/2006/relationships" name="Decision Deltas" sheetId="2" r:id="Rf3acc04e09c0482d"/>
    <x:sheet xmlns:r="http://schemas.openxmlformats.org/officeDocument/2006/relationships" name="Pending Evidence" sheetId="3" r:id="R1eddca502c0a476d"/>
    <x:sheet xmlns:r="http://schemas.openxmlformats.org/officeDocument/2006/relationships" name="All Evidence" sheetId="4" r:id="R2f22fac2050d4d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8">
    <x:font>
      <x:sz val="11"/>
      <x:name val="Carlito"/>
    </x:font>
    <x:font>
      <x:sz val="11"/>
      <x:color rgb="FF1F2937"/>
      <x:name val="Aptos"/>
    </x:font>
    <x:font>
      <x:b/>
      <x:sz val="16"/>
      <x:color rgb="FFFFFFFF"/>
      <x:name val="Aptos"/>
    </x:font>
    <x:font>
      <x:b/>
      <x:sz val="11"/>
      <x:color rgb="FF1F2937"/>
      <x:name val="Aptos"/>
    </x:font>
    <x:font>
      <x:b/>
      <x:sz val="11"/>
      <x:color rgb="FFFFFFFF"/>
      <x:name val="Aptos"/>
    </x:font>
    <x:font>
      <x:b/>
      <x:sz val="16"/>
      <x:color rgb="FFFFFFFF"/>
      <x:name val="Aptos Display"/>
    </x:font>
    <x:font>
      <x:sz val="10"/>
      <x:color rgb="FF1F2937"/>
      <x:name val="Aptos"/>
    </x:font>
    <x:font>
      <x:b/>
      <x:sz val="10"/>
      <x:color rgb="FFFFFFFF"/>
      <x:name val="Aptos"/>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E7E6E6"/>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20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200" fontId="1" fillId="0" borderId="2" xfId="0" applyNumberFormat="1" applyFont="1" applyFill="1" applyBorder="1"/>
    <x:xf numFmtId="20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200" fontId="1" fillId="0" borderId="5" xfId="0" applyNumberFormat="1" applyFont="1" applyFill="1" applyBorder="1"/>
    <x:xf numFmtId="20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200" fontId="1" fillId="0" borderId="8" xfId="0" applyNumberFormat="1" applyFont="1" applyFill="1" applyBorder="1"/>
    <x:xf numFmtId="200" fontId="1" fillId="0" borderId="9" xfId="0" applyNumberFormat="1" applyFont="1" applyFill="1" applyBorder="1"/>
    <x:xf numFmtId="0" fontId="1" fillId="0" borderId="3" xfId="0" applyNumberFormat="1" applyFont="1" applyFill="1" applyBorder="1"/>
    <x:xf numFmtId="0" fontId="1" fillId="0" borderId="6" xfId="0" applyNumberFormat="1" applyFont="1" applyFill="1" applyBorder="1"/>
    <x:xf numFmtId="0" fontId="1" fillId="0" borderId="9" xfId="0" applyNumberFormat="1" applyFont="1" applyFill="1" applyBorder="1"/>
    <x:xf numFmtId="0" fontId="1" fillId="4" borderId="3" xfId="0" applyNumberFormat="1" applyFont="1" applyFill="1" applyBorder="1"/>
    <x:xf numFmtId="0" fontId="1" fillId="5" borderId="6" xfId="0" applyNumberFormat="1" applyFont="1" applyFill="1" applyBorder="1"/>
    <x:xf numFmtId="0" fontId="1" fillId="6" borderId="6" xfId="0" applyNumberFormat="1" applyFont="1" applyFill="1" applyBorder="1"/>
    <x:xf numFmtId="0" fontId="1" fillId="5" borderId="9"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0"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center"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631ecf5eca4e3e" /><Relationship Type="http://schemas.openxmlformats.org/officeDocument/2006/relationships/theme" Target="/xl/theme/theme1.xml" Id="R7ca6da83c9124d85" /><Relationship Type="http://schemas.openxmlformats.org/officeDocument/2006/relationships/sharedStrings" Target="/xl/sharedStrings.xml" Id="R82727a84783348ce" /><Relationship Type="http://schemas.openxmlformats.org/officeDocument/2006/relationships/worksheet" Target="/xl/worksheets/sheet1.xml" Id="R3730e3ff6910400b" /><Relationship Type="http://schemas.openxmlformats.org/officeDocument/2006/relationships/worksheet" Target="/xl/worksheets/sheet2.xml" Id="Rf3acc04e09c0482d" /><Relationship Type="http://schemas.openxmlformats.org/officeDocument/2006/relationships/worksheet" Target="/xl/worksheets/sheet3.xml" Id="R1eddca502c0a476d" /><Relationship Type="http://schemas.openxmlformats.org/officeDocument/2006/relationships/worksheet" Target="/xl/worksheets/sheet4.xml" Id="R2f22fac2050d4d0d" /></Relationships>
</file>

<file path=xl/tables/table1.xml><?xml version="1.0" encoding="utf-8"?>
<x:table xmlns:x="http://schemas.openxmlformats.org/spreadsheetml/2006/main" id="1" name="DecisionDeltaAudit" displayName="DecisionDeltaAudit" ref="A1:M7" headerRowCount="1" totalsRowCount="0" totalsRowShown="0">
  <x:tableColumns count="13">
    <x:tableColumn id="1" name="question_id"/>
    <x:tableColumn id="2" name="question"/>
    <x:tableColumn id="3" name="evaluation_status"/>
    <x:tableColumn id="4" name="exclusion_reason"/>
    <x:tableColumn id="5" name="expected_decision"/>
    <x:tableColumn id="6" name="locked_baseline_e0_decision"/>
    <x:tableColumn id="7" name="current_control_e1_decision"/>
    <x:tableColumn id="8" name="candidate_v2_e2_decision"/>
    <x:tableColumn id="9" name="e1_result"/>
    <x:tableColumn id="10" name="e2_result"/>
    <x:tableColumn id="11" name="delta_effect"/>
    <x:tableColumn id="12" name="e1_reason"/>
    <x:tableColumn id="13" name="e2_reason"/>
  </x:tableColumns>
  <x:tableStyleInfo name="TableStyleMedium2" showFirstColumn="0" showLastColumn="0" showRowStripes="1" showColumnStripes="0"/>
</x:table>
</file>

<file path=xl/tables/table2.xml><?xml version="1.0" encoding="utf-8"?>
<x:table xmlns:x="http://schemas.openxmlformats.org/spreadsheetml/2006/main" id="2" name="PendingEvidenceAudit" displayName="PendingEvidenceAudit" ref="A1:M39" headerRowCount="1" totalsRowCount="0" totalsRowShown="0">
  <x:tableColumns count="13">
    <x:tableColumn id="1" name="review_key"/>
    <x:tableColumn id="2" name="question_id"/>
    <x:tableColumn id="3" name="decision_evaluation_scope"/>
    <x:tableColumn id="4" name="question"/>
    <x:tableColumn id="5" name="expected_answer_points"/>
    <x:tableColumn id="6" name="supporting_chunk_id"/>
    <x:tableColumn id="7" name="supporting_rank"/>
    <x:tableColumn id="8" name="supporting_chunk_text"/>
    <x:tableColumn id="9" name="citation_url"/>
    <x:tableColumn id="10" name="e2_reason"/>
    <x:tableColumn id="11" name="human_entailment_verdict"/>
    <x:tableColumn id="12" name="human_notes"/>
    <x:tableColumn id="13" name="human_review_status"/>
  </x:tableColumns>
  <x:tableStyleInfo name="TableStyleMedium2" showFirstColumn="0" showLastColumn="0" showRowStripes="1" showColumnStripes="0"/>
</x:table>
</file>

<file path=xl/tables/table3.xml><?xml version="1.0" encoding="utf-8"?>
<x:table xmlns:x="http://schemas.openxmlformats.org/spreadsheetml/2006/main" id="3" name="AllEvidenceAudit" displayName="AllEvidenceAudit" ref="A1:R74" headerRowCount="1" totalsRowCount="0" totalsRowShown="0">
  <x:tableColumns count="18">
    <x:tableColumn id="1" name="review_key"/>
    <x:tableColumn id="2" name="question_id"/>
    <x:tableColumn id="3" name="decision_evaluation_scope"/>
    <x:tableColumn id="4" name="question"/>
    <x:tableColumn id="5" name="expected_answer_points"/>
    <x:tableColumn id="6" name="selected_by_variants"/>
    <x:tableColumn id="7" name="control_e1_selected"/>
    <x:tableColumn id="8" name="candidate_e2_selected"/>
    <x:tableColumn id="9" name="supporting_chunk_id"/>
    <x:tableColumn id="10" name="supporting_rank"/>
    <x:tableColumn id="11" name="supporting_chunk_text"/>
    <x:tableColumn id="12" name="citation_url"/>
    <x:tableColumn id="13" name="e1_reason"/>
    <x:tableColumn id="14" name="e2_reason"/>
    <x:tableColumn id="15" name="verdict_source"/>
    <x:tableColumn id="16" name="human_entailment_verdict"/>
    <x:tableColumn id="17" name="human_notes"/>
    <x:tableColumn id="18" name="human_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75b23eaf4b4b35" /></Relationships>
</file>

<file path=xl/worksheets/_rels/sheet3.xml.rels>&#65279;<?xml version="1.0" encoding="utf-8"?><Relationships xmlns="http://schemas.openxmlformats.org/package/2006/relationships"><Relationship Type="http://schemas.openxmlformats.org/officeDocument/2006/relationships/table" Target="/xl/tables/table2.xml" Id="R1f503a10af0f4e42" /></Relationships>
</file>

<file path=xl/worksheets/_rels/sheet4.xml.rels>&#65279;<?xml version="1.0" encoding="utf-8"?><Relationships xmlns="http://schemas.openxmlformats.org/package/2006/relationships"><Relationship Type="http://schemas.openxmlformats.org/officeDocument/2006/relationships/table" Target="/xl/tables/table3.xml" Id="Ra3e02159a9f74dfa"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42" hidden="0" customWidth="1"/>
    <x:col min="3" max="3" width="16" hidden="0" customWidth="1"/>
    <x:col min="4" max="4" width="16" hidden="0" customWidth="1"/>
    <x:col min="5" max="5" width="16" hidden="0" customWidth="1"/>
    <x:col min="6" max="6" width="28" hidden="0" customWidth="1"/>
    <x:col min="7" max="7" width="18" hidden="0" customWidth="1"/>
    <x:col min="8" max="8" width="18" hidden="0" customWidth="1"/>
  </x:cols>
  <x:sheetData>
    <x:row r="1" ht="32" customHeight="1">
      <x:c r="A1" s="35" t="str">
        <x:v>Phase 8 M3 — Prompt experiment evidence review</x:v>
      </x:c>
      <x:c r="B1" s="35"/>
      <x:c r="C1" s="35"/>
      <x:c r="D1" s="35"/>
      <x:c r="E1" s="35"/>
      <x:c r="F1" s="35"/>
      <x:c r="G1" s="35"/>
      <x:c r="H1" s="35"/>
    </x:row>
    <x:row r="2">
      <x:c r="A2" s="1"/>
      <x:c r="B2" s="1"/>
      <x:c r="C2" s="1"/>
      <x:c r="D2" s="1"/>
      <x:c r="E2" s="1"/>
      <x:c r="F2" s="1"/>
      <x:c r="G2" s="1"/>
      <x:c r="H2" s="1"/>
    </x:row>
    <x:row r="3">
      <x:c r="A3" s="8" t="str">
        <x:v>M3 run</x:v>
      </x:c>
      <x:c r="B3" s="9" t="str">
        <x:v>mit60001_evidence_prompt_m3_33c974521c60e2dc</x:v>
      </x:c>
      <x:c r="C3" s="1"/>
      <x:c r="D3" s="1"/>
      <x:c r="E3" s="1"/>
      <x:c r="F3" s="1"/>
      <x:c r="G3" s="1"/>
      <x:c r="H3" s="1"/>
    </x:row>
    <x:row r="4">
      <x:c r="A4" s="8" t="str">
        <x:v>Frozen experiment</x:v>
      </x:c>
      <x:c r="B4" s="9" t="str">
        <x:v>mit60001_evidence_prompt_experiment_256f435e9d3e0bfd</x:v>
      </x:c>
      <x:c r="C4" s="1"/>
      <x:c r="D4" s="1"/>
      <x:c r="E4" s="1"/>
      <x:c r="F4" s="1"/>
      <x:c r="G4" s="1"/>
      <x:c r="H4" s="1"/>
    </x:row>
    <x:row r="5">
      <x:c r="A5" s="8" t="str">
        <x:v>Decision scope</x:v>
      </x:c>
      <x:c r="B5" s="9" t="str">
        <x:v>37 evaluated; q-017/q-023/q-041 remain excluded</x:v>
      </x:c>
      <x:c r="C5" s="1"/>
      <x:c r="D5" s="1"/>
      <x:c r="E5" s="1"/>
      <x:c r="F5" s="1"/>
      <x:c r="G5" s="1"/>
      <x:c r="H5" s="1"/>
    </x:row>
    <x:row r="6">
      <x:c r="A6" s="8" t="str">
        <x:v>Current status</x:v>
      </x:c>
      <x:c r="B6" s="9" t="str">
        <x:v>Human evidence review pending</x:v>
      </x:c>
      <x:c r="C6" s="1"/>
      <x:c r="D6" s="1"/>
      <x:c r="E6" s="1"/>
      <x:c r="F6" s="1"/>
      <x:c r="G6" s="1"/>
      <x:c r="H6" s="1"/>
    </x:row>
    <x:row r="7">
      <x:c r="A7" s="1"/>
      <x:c r="B7" s="1"/>
      <x:c r="C7" s="1"/>
      <x:c r="D7" s="1"/>
      <x:c r="E7" s="1"/>
      <x:c r="F7" s="1"/>
      <x:c r="G7" s="1"/>
      <x:c r="H7" s="1"/>
    </x:row>
    <x:row r="8">
      <x:c r="A8" s="11" t="str">
        <x:v>Run</x:v>
      </x:c>
      <x:c r="B8" s="11" t="str">
        <x:v>TP</x:v>
      </x:c>
      <x:c r="C8" s="11" t="str">
        <x:v>FP</x:v>
      </x:c>
      <x:c r="D8" s="11" t="str">
        <x:v>FN</x:v>
      </x:c>
      <x:c r="E8" s="11" t="str">
        <x:v>TN</x:v>
      </x:c>
      <x:c r="F8" s="11" t="str">
        <x:v>Accuracy</x:v>
      </x:c>
      <x:c r="G8" s="11" t="str">
        <x:v>Accept recall</x:v>
      </x:c>
      <x:c r="H8" s="11" t="str">
        <x:v>False accept rate</x:v>
      </x:c>
    </x:row>
    <x:row r="9">
      <x:c r="A9" s="13" t="str">
        <x:v>E0 locked baseline</x:v>
      </x:c>
      <x:c r="B9" s="14" t="n">
        <x:v>17</x:v>
      </x:c>
      <x:c r="C9" s="14" t="n">
        <x:v>9</x:v>
      </x:c>
      <x:c r="D9" s="14" t="n">
        <x:v>4</x:v>
      </x:c>
      <x:c r="E9" s="14" t="n">
        <x:v>7</x:v>
      </x:c>
      <x:c r="F9" s="15" t="n">
        <x:v>0.6486486486486487</x:v>
      </x:c>
      <x:c r="G9" s="15" t="n">
        <x:v>0.8095238095238095</x:v>
      </x:c>
      <x:c r="H9" s="16" t="n">
        <x:v>0.5625</x:v>
      </x:c>
    </x:row>
    <x:row r="10">
      <x:c r="A10" s="17" t="str">
        <x:v>E1 current control</x:v>
      </x:c>
      <x:c r="B10" s="18" t="n">
        <x:v>16</x:v>
      </x:c>
      <x:c r="C10" s="18" t="n">
        <x:v>9</x:v>
      </x:c>
      <x:c r="D10" s="18" t="n">
        <x:v>5</x:v>
      </x:c>
      <x:c r="E10" s="18" t="n">
        <x:v>7</x:v>
      </x:c>
      <x:c r="F10" s="19" t="n">
        <x:v>0.6216216216216216</x:v>
      </x:c>
      <x:c r="G10" s="19" t="n">
        <x:v>0.7619047619047619</x:v>
      </x:c>
      <x:c r="H10" s="20" t="n">
        <x:v>0.5625</x:v>
      </x:c>
    </x:row>
    <x:row r="11">
      <x:c r="A11" s="21" t="str">
        <x:v>E2 candidate V2</x:v>
      </x:c>
      <x:c r="B11" s="22" t="n">
        <x:v>19</x:v>
      </x:c>
      <x:c r="C11" s="22" t="n">
        <x:v>9</x:v>
      </x:c>
      <x:c r="D11" s="22" t="n">
        <x:v>2</x:v>
      </x:c>
      <x:c r="E11" s="22" t="n">
        <x:v>7</x:v>
      </x:c>
      <x:c r="F11" s="23" t="n">
        <x:v>0.7027027027027027</x:v>
      </x:c>
      <x:c r="G11" s="23" t="n">
        <x:v>0.9047619047619048</x:v>
      </x:c>
      <x:c r="H11" s="24" t="n">
        <x:v>0.5625</x:v>
      </x:c>
    </x:row>
    <x:row r="12">
      <x:c r="A12" s="1"/>
      <x:c r="B12" s="1"/>
      <x:c r="C12" s="1"/>
      <x:c r="D12" s="1"/>
      <x:c r="E12" s="1"/>
      <x:c r="F12" s="1"/>
      <x:c r="G12" s="1"/>
      <x:c r="H12" s="1"/>
    </x:row>
    <x:row r="13">
      <x:c r="A13" s="11" t="str">
        <x:v>Candidate gate</x:v>
      </x:c>
      <x:c r="B13" s="11" t="str">
        <x:v>E2 value</x:v>
      </x:c>
      <x:c r="C13" s="11" t="str">
        <x:v>Threshold</x:v>
      </x:c>
      <x:c r="D13" s="11" t="str">
        <x:v>Status</x:v>
      </x:c>
      <x:c r="E13" s="1"/>
      <x:c r="F13" s="11" t="str">
        <x:v>Human review progress</x:v>
      </x:c>
      <x:c r="G13" s="11"/>
      <x:c r="H13" s="11"/>
    </x:row>
    <x:row r="14">
      <x:c r="A14" s="13" t="str">
        <x:v>False accept rate</x:v>
      </x:c>
      <x:c r="B14" s="15" t="n">
        <x:v>0.5625</x:v>
      </x:c>
      <x:c r="C14" s="15" t="n">
        <x:v>0.25</x:v>
      </x:c>
      <x:c r="D14" s="28" t="str">
        <x:f>IF(B14&lt;=C14,"PASS","FAIL")</x:f>
        <x:v>FAIL</x:v>
      </x:c>
      <x:c r="E14" s="1"/>
      <x:c r="F14" s="7" t="str">
        <x:v>Pending pairs supplied</x:v>
      </x:c>
      <x:c r="G14" s="1" t="n">
        <x:f>COUNTA('Pending Evidence'!$A$2:$A$39)</x:f>
        <x:v>38</x:v>
      </x:c>
      <x:c r="H14" s="1"/>
    </x:row>
    <x:row r="15">
      <x:c r="A15" s="17" t="str">
        <x:v>Accept recall</x:v>
      </x:c>
      <x:c r="B15" s="19" t="n">
        <x:v>0.9047619047619048</x:v>
      </x:c>
      <x:c r="C15" s="19" t="n">
        <x:v>0.75</x:v>
      </x:c>
      <x:c r="D15" s="29" t="str">
        <x:f>IF(B15&gt;=C15,"PASS","FAIL")</x:f>
        <x:v>PASS</x:v>
      </x:c>
      <x:c r="E15" s="1"/>
      <x:c r="F15" s="7" t="str">
        <x:v>Reviewed</x:v>
      </x:c>
      <x:c r="G15" s="1" t="n">
        <x:f>COUNTIF('Pending Evidence'!$M$2:$M$39,"reviewed")</x:f>
        <x:v>0</x:v>
      </x:c>
      <x:c r="H15" s="1"/>
    </x:row>
    <x:row r="16">
      <x:c r="A16" s="17" t="str">
        <x:v>Evidence precision (37-scope)</x:v>
      </x:c>
      <x:c r="B16" s="19" t="str">
        <x:f>IF(COUNTIFS('Pending Evidence'!$C$2:$C$39,"evaluated_37",'Pending Evidence'!$M$2:$M$39,"reviewed")=36,(26+COUNTIFS('Pending Evidence'!$C$2:$C$39,"evaluated_37",'Pending Evidence'!$K$2:$K$39,"supports"))/67,"")</x:f>
      </x:c>
      <x:c r="C16" s="19" t="n">
        <x:v>0.85</x:v>
      </x:c>
      <x:c r="D16" s="30" t="str">
        <x:f>IF(B16="","PENDING",IF(B16&gt;=C16,"PASS","FAIL"))</x:f>
        <x:v>PENDING</x:v>
      </x:c>
      <x:c r="E16" s="1"/>
      <x:c r="F16" s="7" t="str">
        <x:v>Remaining</x:v>
      </x:c>
      <x:c r="G16" s="1" t="n">
        <x:f>G14-G15</x:f>
        <x:v>38</x:v>
      </x:c>
      <x:c r="H16" s="1"/>
    </x:row>
    <x:row r="17">
      <x:c r="A17" s="17" t="str">
        <x:v>Schema valid rate</x:v>
      </x:c>
      <x:c r="B17" s="19" t="n">
        <x:v>1</x:v>
      </x:c>
      <x:c r="C17" s="19" t="n">
        <x:v>1</x:v>
      </x:c>
      <x:c r="D17" s="29" t="str">
        <x:f>IF(B17&gt;=C17,"PASS","FAIL")</x:f>
        <x:v>PASS</x:v>
      </x:c>
      <x:c r="E17" s="1"/>
      <x:c r="F17" s="7" t="str">
        <x:v>Canonical verdicts reused</x:v>
      </x:c>
      <x:c r="G17" s="1" t="n">
        <x:v>35</x:v>
      </x:c>
      <x:c r="H17" s="1"/>
    </x:row>
    <x:row r="18">
      <x:c r="A18" s="21" t="str">
        <x:v>Outside-Top-3 ID count</x:v>
      </x:c>
      <x:c r="B18" s="22" t="n">
        <x:v>0</x:v>
      </x:c>
      <x:c r="C18" s="22" t="n">
        <x:v>0</x:v>
      </x:c>
      <x:c r="D18" s="31" t="str">
        <x:f>IF(B18&lt;=C18,"PASS","FAIL")</x:f>
        <x:v>PASS</x:v>
      </x:c>
      <x:c r="E18" s="1"/>
      <x:c r="F18" s="1"/>
      <x:c r="G18" s="1"/>
      <x:c r="H18" s="1"/>
    </x:row>
    <x:row r="19">
      <x:c r="A19" s="1"/>
      <x:c r="B19" s="1"/>
      <x:c r="C19" s="1"/>
      <x:c r="D19" s="1"/>
      <x:c r="E19" s="1"/>
      <x:c r="F19" s="1"/>
      <x:c r="G19" s="1"/>
      <x:c r="H19" s="1"/>
    </x:row>
    <x:row r="20">
      <x:c r="A20" s="1"/>
      <x:c r="B20" s="1"/>
      <x:c r="C20" s="1"/>
      <x:c r="D20" s="1"/>
      <x:c r="E20" s="1"/>
      <x:c r="F20" s="1"/>
      <x:c r="G20" s="1"/>
      <x:c r="H20" s="1"/>
    </x:row>
    <x:row r="21">
      <x:c r="A21" s="10" t="str">
        <x:v>Reviewer instructions</x:v>
      </x:c>
      <x:c r="B21" s="10"/>
      <x:c r="C21" s="10"/>
      <x:c r="D21" s="10"/>
      <x:c r="E21" s="10"/>
      <x:c r="F21" s="10"/>
      <x:c r="G21" s="10"/>
      <x:c r="H21" s="10"/>
    </x:row>
    <x:row r="22">
      <x:c r="A22" s="34" t="str">
        <x:v>Chỉ sửa sheet Pending Evidence. Với mỗi dòng, so sánh Question + Expected Answer Points với Supporting Chunk Text. Chọn supports khi chunk trực tiếp hỗ trợ answer points cần thiết; chọn does_not_support khi chỉ cùng chủ đề, thiếu phần thiết yếu hoặc cần kiến thức ngoài; chọn needs_discussion khi chưa thể kết luận. Điền Human Notes khi verdict không hiển nhiên. Cột Human Review Status tự chuyển sang reviewed khi đã chọn verdict. Không sửa Decision Deltas, All Evidence, prompt, Ground Truth hoặc exclusion set.</x:v>
      </x:c>
      <x:c r="B22" s="34"/>
      <x:c r="C22" s="34"/>
      <x:c r="D22" s="34"/>
      <x:c r="E22" s="34"/>
      <x:c r="F22" s="34"/>
      <x:c r="G22" s="34"/>
      <x:c r="H22" s="34"/>
    </x:row>
    <x:row r="23">
      <x:c r="A23" s="34"/>
      <x:c r="B23" s="34"/>
      <x:c r="C23" s="34"/>
      <x:c r="D23" s="34"/>
      <x:c r="E23" s="34"/>
      <x:c r="F23" s="34"/>
      <x:c r="G23" s="34"/>
      <x:c r="H23" s="34"/>
    </x:row>
    <x:row r="24">
      <x:c r="A24" s="34"/>
      <x:c r="B24" s="34"/>
      <x:c r="C24" s="34"/>
      <x:c r="D24" s="34"/>
      <x:c r="E24" s="34"/>
      <x:c r="F24" s="34"/>
      <x:c r="G24" s="34"/>
      <x:c r="H24" s="34"/>
    </x:row>
    <x:row r="25">
      <x:c r="A25" s="34"/>
      <x:c r="B25" s="34"/>
      <x:c r="C25" s="34"/>
      <x:c r="D25" s="34"/>
      <x:c r="E25" s="34"/>
      <x:c r="F25" s="34"/>
      <x:c r="G25" s="34"/>
      <x:c r="H25" s="34"/>
    </x:row>
    <x:row r="26">
      <x:c r="A26" s="34"/>
      <x:c r="B26" s="34"/>
      <x:c r="C26" s="34"/>
      <x:c r="D26" s="34"/>
      <x:c r="E26" s="34"/>
      <x:c r="F26" s="34"/>
      <x:c r="G26" s="34"/>
      <x:c r="H26" s="34"/>
    </x:row>
    <x:row r="27">
      <x:c r="A27" s="34"/>
      <x:c r="B27" s="34"/>
      <x:c r="C27" s="34"/>
      <x:c r="D27" s="34"/>
      <x:c r="E27" s="34"/>
      <x:c r="F27" s="34"/>
      <x:c r="G27" s="34"/>
      <x:c r="H27" s="34"/>
    </x:row>
  </x:sheetData>
  <x:mergeCells>
    <x:mergeCell ref="A1:H1"/>
    <x:mergeCell ref="F13:H13"/>
    <x:mergeCell ref="A21:H21"/>
    <x:mergeCell ref="A22: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8" hidden="0" customWidth="1"/>
    <x:col min="13" max="13" width="58" hidden="0" customWidth="1"/>
  </x:cols>
  <x:sheetData>
    <x:row r="1" ht="34" customHeight="1">
      <x:c r="A1" s="42" t="str">
        <x:v>question_id</x:v>
      </x:c>
      <x:c r="B1" s="42" t="str">
        <x:v>question</x:v>
      </x:c>
      <x:c r="C1" s="42" t="str">
        <x:v>evaluation_status</x:v>
      </x:c>
      <x:c r="D1" s="42" t="str">
        <x:v>exclusion_reason</x:v>
      </x:c>
      <x:c r="E1" s="42" t="str">
        <x:v>expected_decision</x:v>
      </x:c>
      <x:c r="F1" s="42" t="str">
        <x:v>locked_baseline_e0_decision</x:v>
      </x:c>
      <x:c r="G1" s="42" t="str">
        <x:v>current_control_e1_decision</x:v>
      </x:c>
      <x:c r="H1" s="42" t="str">
        <x:v>candidate_v2_e2_decision</x:v>
      </x:c>
      <x:c r="I1" s="42" t="str">
        <x:v>e1_result</x:v>
      </x:c>
      <x:c r="J1" s="42" t="str">
        <x:v>e2_result</x:v>
      </x:c>
      <x:c r="K1" s="42" t="str">
        <x:v>delta_effect</x:v>
      </x:c>
      <x:c r="L1" s="42" t="str">
        <x:v>e1_reason</x:v>
      </x:c>
      <x:c r="M1" s="42" t="str">
        <x:v>e2_reason</x:v>
      </x:c>
    </x:row>
    <x:row r="2" ht="72" customHeight="1">
      <x:c r="A2" s="38" t="str">
        <x:v>mit60001-q-001</x:v>
      </x:c>
      <x:c r="B2" s="38" t="str">
        <x:v>According to the course introduction, what learning goals are introduced for students?</x:v>
      </x:c>
      <x:c r="C2" s="38" t="str">
        <x:v>evaluated</x:v>
      </x:c>
      <x:c r="D2" s="38" t="str"/>
      <x:c r="E2" s="38" t="str">
        <x:v>reject</x:v>
      </x:c>
      <x:c r="F2" s="38" t="str">
        <x:v>reject</x:v>
      </x:c>
      <x:c r="G2" s="38" t="str">
        <x:v>reject</x:v>
      </x:c>
      <x:c r="H2" s="38" t="str">
        <x:v>accept</x:v>
      </x:c>
      <x:c r="I2" s="38" t="str">
        <x:v>TN</x:v>
      </x:c>
      <x:c r="J2" s="38" t="str">
        <x:v>FP</x:v>
      </x:c>
      <x:c r="K2" s="38" t="str">
        <x:v>worsened</x:v>
      </x:c>
      <x:c r="L2" s="38" t="str">
        <x:v>The provided excerpts do not directly address the learning goals introduced for students.</x:v>
      </x:c>
      <x:c r="M2" s="38" t="str">
        <x:v>The whole question is covered.</x:v>
      </x:c>
    </x:row>
    <x:row r="3" ht="72" customHeight="1">
      <x:c r="A3" s="38" t="str">
        <x:v>mit60001-q-009</x:v>
      </x:c>
      <x:c r="B3" s="38" t="str">
        <x:v>According to the course, how are local variables created and used during a function call?</x:v>
      </x:c>
      <x:c r="C3" s="38" t="str">
        <x:v>evaluated</x:v>
      </x:c>
      <x:c r="D3" s="38" t="str"/>
      <x:c r="E3" s="38" t="str">
        <x:v>accept</x:v>
      </x:c>
      <x:c r="F3" s="38" t="str">
        <x:v>reject</x:v>
      </x:c>
      <x:c r="G3" s="38" t="str">
        <x:v>reject</x:v>
      </x:c>
      <x:c r="H3" s="38" t="str">
        <x:v>accept</x:v>
      </x:c>
      <x:c r="I3" s="38" t="str">
        <x:v>FN</x:v>
      </x:c>
      <x:c r="J3" s="38" t="str">
        <x:v>TP</x:v>
      </x:c>
      <x:c r="K3" s="38" t="str">
        <x:v>improved</x:v>
      </x:c>
      <x:c r="L3" s="38" t="str">
        <x:v>None of the candidate excerpts directly answer the question about how local variables are created and used during a function call.</x:v>
      </x:c>
      <x:c r="M3" s="38" t="str">
        <x:v>The evidence supports the creation and usage of local variables during a function call, including the concept of scopes, global variables, and passing values back and forth between scopes.</x:v>
      </x:c>
    </x:row>
    <x:row r="4" ht="72" customHeight="1">
      <x:c r="A4" s="38" t="str">
        <x:v>mit60001-q-014</x:v>
      </x:c>
      <x:c r="B4" s="38" t="str">
        <x:v>What is the difference between a Python list and a dictionary?</x:v>
      </x:c>
      <x:c r="C4" s="38" t="str">
        <x:v>evaluated</x:v>
      </x:c>
      <x:c r="D4" s="38" t="str"/>
      <x:c r="E4" s="38" t="str">
        <x:v>reject</x:v>
      </x:c>
      <x:c r="F4" s="38" t="str">
        <x:v>accept</x:v>
      </x:c>
      <x:c r="G4" s="38" t="str">
        <x:v>accept</x:v>
      </x:c>
      <x:c r="H4" s="38" t="str">
        <x:v>reject</x:v>
      </x:c>
      <x:c r="I4" s="38" t="str">
        <x:v>FP</x:v>
      </x:c>
      <x:c r="J4" s="38" t="str">
        <x:v>TN</x:v>
      </x:c>
      <x:c r="K4" s="38" t="str">
        <x:v>improved</x:v>
      </x:c>
      <x:c r="L4" s="38" t="str">
        <x:v>The candidate excerpt directly supports the answer that lists are mutable objects.</x:v>
      </x:c>
      <x:c r="M4" s="38" t="str">
        <x:v>The evidence does not cover the entire question. The difference between a Python list and a dictionary is not explicitly stated.</x:v>
      </x:c>
    </x:row>
    <x:row r="5" ht="72" customHeight="1">
      <x:c r="A5" s="38" t="str">
        <x:v>mit60001-q-019</x:v>
      </x:c>
      <x:c r="B5" s="38" t="str">
        <x:v>According to the lecture, what is the goal of bisection search?</x:v>
      </x:c>
      <x:c r="C5" s="38" t="str">
        <x:v>evaluated</x:v>
      </x:c>
      <x:c r="D5" s="38" t="str"/>
      <x:c r="E5" s="38" t="str">
        <x:v>accept</x:v>
      </x:c>
      <x:c r="F5" s="38" t="str">
        <x:v>accept</x:v>
      </x:c>
      <x:c r="G5" s="38" t="str">
        <x:v>reject</x:v>
      </x:c>
      <x:c r="H5" s="38" t="str">
        <x:v>accept</x:v>
      </x:c>
      <x:c r="I5" s="38" t="str">
        <x:v>FN</x:v>
      </x:c>
      <x:c r="J5" s="38" t="str">
        <x:v>TP</x:v>
      </x:c>
      <x:c r="K5" s="38" t="str">
        <x:v>improved</x:v>
      </x:c>
      <x:c r="L5" s="38" t="str">
        <x:v>None of the candidate excerpts directly support the answer to the question 'According to the lecture, what is the goal of bisection search?'</x:v>
      </x:c>
      <x:c r="M5" s="38" t="str">
        <x:v>The whole question is covered.</x:v>
      </x:c>
    </x:row>
    <x:row r="6" ht="72" customHeight="1">
      <x:c r="A6" s="38" t="str">
        <x:v>mit60001-q-021</x:v>
      </x:c>
      <x:c r="B6" s="38" t="str">
        <x:v>How does the course explain the role of Boolean comparisons in branching?</x:v>
      </x:c>
      <x:c r="C6" s="38" t="str">
        <x:v>evaluated</x:v>
      </x:c>
      <x:c r="D6" s="38" t="str"/>
      <x:c r="E6" s="38" t="str">
        <x:v>accept</x:v>
      </x:c>
      <x:c r="F6" s="38" t="str">
        <x:v>reject</x:v>
      </x:c>
      <x:c r="G6" s="38" t="str">
        <x:v>reject</x:v>
      </x:c>
      <x:c r="H6" s="38" t="str">
        <x:v>accept</x:v>
      </x:c>
      <x:c r="I6" s="38" t="str">
        <x:v>FN</x:v>
      </x:c>
      <x:c r="J6" s="38" t="str">
        <x:v>TP</x:v>
      </x:c>
      <x:c r="K6" s="38" t="str">
        <x:v>improved</x:v>
      </x:c>
      <x:c r="L6" s="38" t="str">
        <x:v>None of the candidate excerpts directly explain the role of Boolean comparisons in branching.</x:v>
      </x:c>
      <x:c r="M6" s="38" t="str">
        <x:v>The evidence supports the requested answer and covers the entire question.</x:v>
      </x:c>
    </x:row>
    <x:row r="7" ht="72" customHeight="1">
      <x:c r="A7" s="38" t="str">
        <x:v>mit60001-q-023</x:v>
      </x:c>
      <x:c r="B7" s="38" t="str">
        <x:v>How does the course explain abstraction when functions are used in a program?</x:v>
      </x:c>
      <x:c r="C7" s="38" t="str">
        <x:v>excluded</x:v>
      </x:c>
      <x:c r="D7" s="38" t="str">
        <x:v>benchmark_gt_issue</x:v>
      </x:c>
      <x:c r="E7" s="38" t="str"/>
      <x:c r="F7" s="38" t="str">
        <x:v>reject</x:v>
      </x:c>
      <x:c r="G7" s="38" t="str">
        <x:v>reject</x:v>
      </x:c>
      <x:c r="H7" s="38" t="str">
        <x:v>accept</x:v>
      </x:c>
      <x:c r="I7" s="38" t="str">
        <x:v>excluded</x:v>
      </x:c>
      <x:c r="J7" s="38" t="str">
        <x:v>excluded</x:v>
      </x:c>
      <x:c r="K7" s="38" t="str">
        <x:v>existing_exclusion_audit_only</x:v>
      </x:c>
      <x:c r="L7" s="38" t="str">
        <x:v>None of the candidate excerpts directly explain abstraction when functions are used in a program.</x:v>
      </x:c>
      <x:c r="M7" s="38" t="str">
        <x:v>The evidence supports the requested mechanism or behavior. The selected excerpts directly explain abstraction when functions are used in a program.</x:v>
      </x:c>
    </x:row>
  </x:sheetData>
  <x:pageMargins left="0.7" right="0.7" top="0.75" bottom="0.75" header="0.3" footer="0.3"/>
  <x:tableParts count="1">
    <x:tablePart xmlns:r="http://schemas.openxmlformats.org/officeDocument/2006/relationships" r:id="R5e75b23eaf4b4b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0" hidden="0" customWidth="1"/>
    <x:col min="2" max="2" width="20" hidden="0" customWidth="1"/>
    <x:col min="3" max="3" width="20" hidden="0" customWidth="1"/>
    <x:col min="4" max="4" width="48" hidden="0" customWidth="1"/>
    <x:col min="5" max="5" width="62" hidden="0" customWidth="1"/>
    <x:col min="6" max="6" width="50" hidden="0" customWidth="1"/>
    <x:col min="7" max="7" width="10" hidden="0" customWidth="1"/>
    <x:col min="8" max="8" width="88" hidden="0" customWidth="1"/>
    <x:col min="9" max="9" width="38" hidden="0" customWidth="1"/>
    <x:col min="10" max="10" width="55" hidden="0" customWidth="1"/>
    <x:col min="11" max="11" width="24" hidden="0" customWidth="1"/>
    <x:col min="12" max="12" width="55" hidden="0" customWidth="1"/>
    <x:col min="13" max="13" width="18" hidden="0" customWidth="1"/>
  </x:cols>
  <x:sheetData>
    <x:row r="1" ht="34" customHeight="1">
      <x:c r="A1" s="42" t="str">
        <x:v>review_key</x:v>
      </x:c>
      <x:c r="B1" s="42" t="str">
        <x:v>question_id</x:v>
      </x:c>
      <x:c r="C1" s="42" t="str">
        <x:v>decision_evaluation_scope</x:v>
      </x:c>
      <x:c r="D1" s="42" t="str">
        <x:v>question</x:v>
      </x:c>
      <x:c r="E1" s="42" t="str">
        <x:v>expected_answer_points</x:v>
      </x:c>
      <x:c r="F1" s="42" t="str">
        <x:v>supporting_chunk_id</x:v>
      </x:c>
      <x:c r="G1" s="42" t="str">
        <x:v>supporting_rank</x:v>
      </x:c>
      <x:c r="H1" s="42" t="str">
        <x:v>supporting_chunk_text</x:v>
      </x:c>
      <x:c r="I1" s="42" t="str">
        <x:v>citation_url</x:v>
      </x:c>
      <x:c r="J1" s="42" t="str">
        <x:v>e2_reason</x:v>
      </x:c>
      <x:c r="K1" s="42" t="str">
        <x:v>human_entailment_verdict</x:v>
      </x:c>
      <x:c r="L1" s="42" t="str">
        <x:v>human_notes</x:v>
      </x:c>
      <x:c r="M1" s="42" t="str">
        <x:v>human_review_status</x:v>
      </x:c>
    </x:row>
    <x:row r="2" ht="100" customHeight="1">
      <x:c r="A2" s="38" t="str">
        <x:v>mit60001-q-001|nykOeWgQcHM:semantic_cosine_wp240_v1:3</x:v>
      </x:c>
      <x:c r="B2" s="38" t="str">
        <x:v>mit60001-q-001</x:v>
      </x:c>
      <x:c r="C2" s="38" t="str">
        <x:v>evaluated_37</x:v>
      </x:c>
      <x:c r="D2" s="38" t="str">
        <x:v>According to the course introduction, what learning goals are introduced for students?</x:v>
      </x:c>
      <x:c r="E2"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2" s="38" t="str">
        <x:v>nykOeWgQcHM:semantic_cosine_wp240_v1:3</x:v>
      </x:c>
      <x:c r="G2" s="38" t="str">
        <x:v>2</x:v>
      </x:c>
      <x:c r="H2" s="38"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c r="I2" s="38" t="str">
        <x:v>https://www.youtube.com/watch?v=nykOeWgQcHM&amp;t=127s</x:v>
      </x:c>
      <x:c r="J2" s="38" t="str">
        <x:v>The whole question is covered.</x:v>
      </x:c>
      <x:c r="K2" s="43" t="str"/>
      <x:c r="L2" s="43" t="str"/>
      <x:c r="M2" s="44" t="str">
        <x:f>IF(K2="","pending","reviewed")</x:f>
        <x:v>pending</x:v>
      </x:c>
    </x:row>
    <x:row r="3" ht="100" customHeight="1">
      <x:c r="A3" s="38" t="str">
        <x:v>mit60001-q-001|nykOeWgQcHM:semantic_cosine_wp240_v1:6</x:v>
      </x:c>
      <x:c r="B3" s="38" t="str">
        <x:v>mit60001-q-001</x:v>
      </x:c>
      <x:c r="C3" s="38" t="str">
        <x:v>evaluated_37</x:v>
      </x:c>
      <x:c r="D3" s="38" t="str">
        <x:v>According to the course introduction, what learning goals are introduced for students?</x:v>
      </x:c>
      <x:c r="E3"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3" s="38" t="str">
        <x:v>nykOeWgQcHM:semantic_cosine_wp240_v1:6</x:v>
      </x:c>
      <x:c r="G3" s="38" t="str">
        <x:v>1</x:v>
      </x:c>
      <x:c r="H3"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I3" s="38" t="str">
        <x:v>https://www.youtube.com/watch?v=nykOeWgQcHM&amp;t=261s</x:v>
      </x:c>
      <x:c r="J3" s="38" t="str">
        <x:v>The whole question is covered.</x:v>
      </x:c>
      <x:c r="K3" s="43" t="str"/>
      <x:c r="L3" s="43" t="str"/>
      <x:c r="M3" s="44" t="str">
        <x:f>IF(K3="","pending","reviewed")</x:f>
        <x:v>pending</x:v>
      </x:c>
    </x:row>
    <x:row r="4" ht="100" customHeight="1">
      <x:c r="A4" s="38" t="str">
        <x:v>mit60001-q-001|nykOeWgQcHM:semantic_cosine_wp240_v1:7</x:v>
      </x:c>
      <x:c r="B4" s="38" t="str">
        <x:v>mit60001-q-001</x:v>
      </x:c>
      <x:c r="C4" s="38" t="str">
        <x:v>evaluated_37</x:v>
      </x:c>
      <x:c r="D4" s="38" t="str">
        <x:v>According to the course introduction, what learning goals are introduced for students?</x:v>
      </x:c>
      <x:c r="E4"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4" s="38" t="str">
        <x:v>nykOeWgQcHM:semantic_cosine_wp240_v1:7</x:v>
      </x:c>
      <x:c r="G4" s="38" t="str">
        <x:v>3</x:v>
      </x:c>
      <x:c r="H4" s="38"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I4" s="38" t="str">
        <x:v>https://www.youtube.com/watch?v=nykOeWgQcHM&amp;t=306s</x:v>
      </x:c>
      <x:c r="J4" s="38" t="str">
        <x:v>The whole question is covered.</x:v>
      </x:c>
      <x:c r="K4" s="43" t="str"/>
      <x:c r="L4" s="43" t="str"/>
      <x:c r="M4" s="44" t="str">
        <x:f>IF(K4="","pending","reviewed")</x:f>
        <x:v>pending</x:v>
      </x:c>
    </x:row>
    <x:row r="5" ht="100" customHeight="1">
      <x:c r="A5" s="38" t="str">
        <x:v>mit60001-q-002|nykOeWgQcHM:semantic_cosine_wp240_v1:5</x:v>
      </x:c>
      <x:c r="B5" s="38" t="str">
        <x:v>mit60001-q-002</x:v>
      </x:c>
      <x:c r="C5" s="38" t="str">
        <x:v>evaluated_37</x:v>
      </x:c>
      <x:c r="D5" s="38" t="str">
        <x:v>What does the course say students should do to practice programming effectively?</x:v>
      </x:c>
      <x:c r="E5" s="38" t="str">
        <x:v>- Read problem sets early to become familiar with terminology.
- Practice programming directly rather than only watching someone else code.
- Download the code before lecture.</x:v>
      </x:c>
      <x:c r="F5" s="38" t="str">
        <x:v>nykOeWgQcHM:semantic_cosine_wp240_v1:5</x:v>
      </x:c>
      <x:c r="G5" s="38" t="str">
        <x:v>3</x:v>
      </x:c>
      <x:c r="H5" s="38"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c r="I5" s="38" t="str">
        <x:v>https://www.youtube.com/watch?v=nykOeWgQcHM&amp;t=215s</x:v>
      </x:c>
      <x:c r="J5" s="38" t="str">
        <x:v>The evidence supports the requested answer and covers the entire question.</x:v>
      </x:c>
      <x:c r="K5" s="43" t="str"/>
      <x:c r="L5" s="43" t="str"/>
      <x:c r="M5" s="44" t="str">
        <x:f>IF(K5="","pending","reviewed")</x:f>
        <x:v>pending</x:v>
      </x:c>
    </x:row>
    <x:row r="6" ht="100" customHeight="1">
      <x:c r="A6" s="38" t="str">
        <x:v>mit60001-q-002|nykOeWgQcHM:semantic_cosine_wp240_v1:6</x:v>
      </x:c>
      <x:c r="B6" s="38" t="str">
        <x:v>mit60001-q-002</x:v>
      </x:c>
      <x:c r="C6" s="38" t="str">
        <x:v>evaluated_37</x:v>
      </x:c>
      <x:c r="D6" s="38" t="str">
        <x:v>What does the course say students should do to practice programming effectively?</x:v>
      </x:c>
      <x:c r="E6" s="38" t="str">
        <x:v>- Read problem sets early to become familiar with terminology.
- Practice programming directly rather than only watching someone else code.
- Download the code before lecture.</x:v>
      </x:c>
      <x:c r="F6" s="38" t="str">
        <x:v>nykOeWgQcHM:semantic_cosine_wp240_v1:6</x:v>
      </x:c>
      <x:c r="G6" s="38" t="str">
        <x:v>2</x:v>
      </x:c>
      <x:c r="H6"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I6" s="38" t="str">
        <x:v>https://www.youtube.com/watch?v=nykOeWgQcHM&amp;t=261s</x:v>
      </x:c>
      <x:c r="J6" s="38" t="str">
        <x:v>The evidence supports the requested answer and covers the entire question.</x:v>
      </x:c>
      <x:c r="K6" s="43" t="str"/>
      <x:c r="L6" s="43" t="str"/>
      <x:c r="M6" s="44" t="str">
        <x:f>IF(K6="","pending","reviewed")</x:f>
        <x:v>pending</x:v>
      </x:c>
    </x:row>
    <x:row r="7" ht="100" customHeight="1">
      <x:c r="A7" s="38" t="str">
        <x:v>mit60001-q-004|0jljZRnHwOI:semantic_cosine_wp240_v1:31</x:v>
      </x:c>
      <x:c r="B7" s="38" t="str">
        <x:v>mit60001-q-004</x:v>
      </x:c>
      <x:c r="C7" s="38" t="str">
        <x:v>evaluated_37</x:v>
      </x:c>
      <x:c r="D7" s="38" t="str">
        <x:v>What is the difference between assignment (=) and equality (==) in Python?</x:v>
      </x:c>
      <x:c r="E7" s="38" t="str">
        <x:v>- The single equals sign assigns a value to a variable.
- The double equals sign tests whether two values are equal and produces a Boolean result.</x:v>
      </x:c>
      <x:c r="F7" s="38" t="str">
        <x:v>0jljZRnHwOI:semantic_cosine_wp240_v1:31</x:v>
      </x:c>
      <x:c r="G7" s="38" t="str">
        <x:v>2</x:v>
      </x:c>
      <x:c r="H7" s="38" t="str">
        <x:v>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x:v>
      </x:c>
      <x:c r="I7" s="38" t="str">
        <x:v>https://www.youtube.com/watch?v=0jljZRnHwOI&amp;t=1455s</x:v>
      </x:c>
      <x:c r="J7" s="38" t="str">
        <x:v>The evidence supports both sides of the question and the requested contrast.</x:v>
      </x:c>
      <x:c r="K7" s="43" t="str"/>
      <x:c r="L7" s="43" t="str"/>
      <x:c r="M7" s="44" t="str">
        <x:f>IF(K7="","pending","reviewed")</x:f>
        <x:v>pending</x:v>
      </x:c>
    </x:row>
    <x:row r="8" ht="100" customHeight="1">
      <x:c r="A8" s="38" t="str">
        <x:v>mit60001-q-004|0jljZRnHwOI:semantic_cosine_wp240_v1:32</x:v>
      </x:c>
      <x:c r="B8" s="38" t="str">
        <x:v>mit60001-q-004</x:v>
      </x:c>
      <x:c r="C8" s="38" t="str">
        <x:v>evaluated_37</x:v>
      </x:c>
      <x:c r="D8" s="38" t="str">
        <x:v>What is the difference between assignment (=) and equality (==) in Python?</x:v>
      </x:c>
      <x:c r="E8" s="38" t="str">
        <x:v>- The single equals sign assigns a value to a variable.
- The double equals sign tests whether two values are equal and produces a Boolean result.</x:v>
      </x:c>
      <x:c r="F8" s="38" t="str">
        <x:v>0jljZRnHwOI:semantic_cosine_wp240_v1:32</x:v>
      </x:c>
      <x:c r="G8" s="38" t="str">
        <x:v>3</x:v>
      </x:c>
      <x:c r="H8" s="38"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I8" s="38" t="str">
        <x:v>https://www.youtube.com/watch?v=0jljZRnHwOI&amp;t=1513s</x:v>
      </x:c>
      <x:c r="J8" s="38" t="str">
        <x:v>The evidence supports both sides of the question and the requested contrast.</x:v>
      </x:c>
      <x:c r="K8" s="43" t="str"/>
      <x:c r="L8" s="43" t="str"/>
      <x:c r="M8" s="44" t="str">
        <x:f>IF(K8="","pending","reviewed")</x:f>
        <x:v>pending</x:v>
      </x:c>
    </x:row>
    <x:row r="9" ht="100" customHeight="1">
      <x:c r="A9" s="38" t="str">
        <x:v>mit60001-q-006|o9nW0uBqvEo:semantic_cosine_wp240_v1:13</x:v>
      </x:c>
      <x:c r="B9" s="38" t="str">
        <x:v>mit60001-q-006</x:v>
      </x:c>
      <x:c r="C9" s="38" t="str">
        <x:v>evaluated_37</x:v>
      </x:c>
      <x:c r="D9" s="38" t="str">
        <x:v>According to the lecture, how is the efficiency of an algorithm explained?</x:v>
      </x:c>
      <x:c r="E9" s="38" t="str">
        <x:v>- Estimate efficiency by running test cases, timing execution, and observing the result.
- Alternatively count fundamental operations as a function of input size.</x:v>
      </x:c>
      <x:c r="F9" s="38" t="str">
        <x:v>o9nW0uBqvEo:semantic_cosine_wp240_v1:13</x:v>
      </x:c>
      <x:c r="G9" s="38" t="str">
        <x:v>2</x:v>
      </x:c>
      <x:c r="H9" s="38"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c r="I9" s="38" t="str">
        <x:v>https://www.youtube.com/watch?v=o9nW0uBqvEo&amp;t=509s</x:v>
      </x:c>
      <x:c r="J9" s="38" t="str">
        <x:v>The evidence supports the explanation of efficiency in an algorithm, specifically that it can be measured by counting operations and comparing different implementations.</x:v>
      </x:c>
      <x:c r="K9" s="43" t="str"/>
      <x:c r="L9" s="43" t="str"/>
      <x:c r="M9" s="44" t="str">
        <x:f>IF(K9="","pending","reviewed")</x:f>
        <x:v>pending</x:v>
      </x:c>
    </x:row>
    <x:row r="10" ht="100" customHeight="1">
      <x:c r="A10" s="38" t="str">
        <x:v>mit60001-q-007|WPSeyjX1-4s:semantic_cosine_wp240_v1:17</x:v>
      </x:c>
      <x:c r="B10" s="38" t="str">
        <x:v>mit60001-q-007</x:v>
      </x:c>
      <x:c r="C10" s="38" t="str">
        <x:v>evaluated_37</x:v>
      </x:c>
      <x:c r="D10" s="38" t="str">
        <x:v>What value is bound to a name after an assignment statement is evaluated?</x:v>
      </x:c>
      <x:c r="E10" s="38" t="str">
        <x:v>- Assignment binds the value on the right-hand side to the variable name on the left-hand side.
- The binding allows the program to access that value later.</x:v>
      </x:c>
      <x:c r="F10" s="38" t="str">
        <x:v>WPSeyjX1-4s:semantic_cosine_wp240_v1:17</x:v>
      </x:c>
      <x:c r="G10" s="38" t="str">
        <x:v>2</x:v>
      </x:c>
      <x:c r="H10" s="38" t="str">
        <x:v>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x:v>
      </x:c>
      <x:c r="I10" s="38" t="str">
        <x:v>https://www.youtube.com/watch?v=WPSeyjX1-4s&amp;t=639s</x:v>
      </x:c>
      <x:c r="J10" s="38" t="str">
        <x:v>The evidence supports the requested answer and covers the entire question.</x:v>
      </x:c>
      <x:c r="K10" s="43" t="str"/>
      <x:c r="L10" s="43" t="str"/>
      <x:c r="M10" s="44" t="str">
        <x:f>IF(K10="","pending","reviewed")</x:f>
        <x:v>pending</x:v>
      </x:c>
    </x:row>
    <x:row r="11" ht="100" customHeight="1">
      <x:c r="A11" s="38" t="str">
        <x:v>mit60001-q-007|nykOeWgQcHM:semantic_cosine_wp240_v1:54</x:v>
      </x:c>
      <x:c r="B11" s="38" t="str">
        <x:v>mit60001-q-007</x:v>
      </x:c>
      <x:c r="C11" s="38" t="str">
        <x:v>evaluated_37</x:v>
      </x:c>
      <x:c r="D11" s="38" t="str">
        <x:v>What value is bound to a name after an assignment statement is evaluated?</x:v>
      </x:c>
      <x:c r="E11" s="38" t="str">
        <x:v>- Assignment binds the value on the right-hand side to the variable name on the left-hand side.
- The binding allows the program to access that value later.</x:v>
      </x:c>
      <x:c r="F11" s="38" t="str">
        <x:v>nykOeWgQcHM:semantic_cosine_wp240_v1:54</x:v>
      </x:c>
      <x:c r="G11" s="38" t="str">
        <x:v>3</x:v>
      </x:c>
      <x:c r="H11" s="38" t="str">
        <x:v>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x:v>
      </x:c>
      <x:c r="I11" s="38" t="str">
        <x:v>https://www.youtube.com/watch?v=nykOeWgQcHM&amp;t=2403s</x:v>
      </x:c>
      <x:c r="J11" s="38" t="str">
        <x:v>The evidence supports the requested answer and covers the entire question.</x:v>
      </x:c>
      <x:c r="K11" s="43" t="str"/>
      <x:c r="L11" s="43" t="str"/>
      <x:c r="M11" s="44" t="str">
        <x:f>IF(K11="","pending","reviewed")</x:f>
        <x:v>pending</x:v>
      </x:c>
    </x:row>
    <x:row r="12" ht="100" customHeight="1">
      <x:c r="A12" s="38" t="str">
        <x:v>mit60001-q-009|MjbuarJ7SE0:semantic_cosine_wp240_v1:22</x:v>
      </x:c>
      <x:c r="B12" s="38" t="str">
        <x:v>mit60001-q-009</x:v>
      </x:c>
      <x:c r="C12" s="38" t="str">
        <x:v>evaluated_37</x:v>
      </x:c>
      <x:c r="D12" s="38" t="str">
        <x:v>According to the course, how are local variables created and used during a function call?</x:v>
      </x:c>
      <x:c r="E12" s="38" t="str">
        <x:v>- The same variable name can exist in the global scope and in a different scope.
- Within a scope, Python uses that scope's variable names, so names in different scopes do not interfere with one another.</x:v>
      </x:c>
      <x:c r="F12" s="38" t="str">
        <x:v>MjbuarJ7SE0:semantic_cosine_wp240_v1:22</x:v>
      </x:c>
      <x:c r="G12" s="38" t="str">
        <x:v>3</x:v>
      </x:c>
      <x:c r="H12" s="38" t="str">
        <x:v>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I12" s="38" t="str">
        <x:v>https://www.youtube.com/watch?v=MjbuarJ7SE0&amp;t=976s</x:v>
      </x:c>
      <x:c r="J12" s="38" t="str">
        <x:v>The evidence supports the creation and usage of local variables during a function call, including the concept of scopes, global variables, and passing values back and forth between scopes.</x:v>
      </x:c>
      <x:c r="K12" s="43" t="str"/>
      <x:c r="L12" s="43" t="str"/>
      <x:c r="M12" s="44" t="str">
        <x:f>IF(K12="","pending","reviewed")</x:f>
        <x:v>pending</x:v>
      </x:c>
    </x:row>
    <x:row r="13" ht="100" customHeight="1">
      <x:c r="A13" s="38" t="str">
        <x:v>mit60001-q-009|MjbuarJ7SE0:semantic_cosine_wp240_v1:41</x:v>
      </x:c>
      <x:c r="B13" s="38" t="str">
        <x:v>mit60001-q-009</x:v>
      </x:c>
      <x:c r="C13" s="38" t="str">
        <x:v>evaluated_37</x:v>
      </x:c>
      <x:c r="D13" s="38" t="str">
        <x:v>According to the course, how are local variables created and used during a function call?</x:v>
      </x:c>
      <x:c r="E13" s="38" t="str">
        <x:v>- The same variable name can exist in the global scope and in a different scope.
- Within a scope, Python uses that scope's variable names, so names in different scopes do not interfere with one another.</x:v>
      </x:c>
      <x:c r="F13" s="38" t="str">
        <x:v>MjbuarJ7SE0:semantic_cosine_wp240_v1:41</x:v>
      </x:c>
      <x:c r="G13" s="38" t="str">
        <x:v>1</x:v>
      </x:c>
      <x:c r="H13" s="38"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c r="I13" s="38" t="str">
        <x:v>https://www.youtube.com/watch?v=MjbuarJ7SE0&amp;t=1837s</x:v>
      </x:c>
      <x:c r="J13" s="38" t="str">
        <x:v>The evidence supports the creation and usage of local variables during a function call, including the concept of scopes, global variables, and passing values back and forth between scopes.</x:v>
      </x:c>
      <x:c r="K13" s="43" t="str"/>
      <x:c r="L13" s="43" t="str"/>
      <x:c r="M13" s="44" t="str">
        <x:f>IF(K13="","pending","reviewed")</x:f>
        <x:v>pending</x:v>
      </x:c>
    </x:row>
    <x:row r="14" ht="100" customHeight="1">
      <x:c r="A14" s="38" t="str">
        <x:v>mit60001-q-009|MjbuarJ7SE0:semantic_cosine_wp240_v1:45</x:v>
      </x:c>
      <x:c r="B14" s="38" t="str">
        <x:v>mit60001-q-009</x:v>
      </x:c>
      <x:c r="C14" s="38" t="str">
        <x:v>evaluated_37</x:v>
      </x:c>
      <x:c r="D14" s="38" t="str">
        <x:v>According to the course, how are local variables created and used during a function call?</x:v>
      </x:c>
      <x:c r="E14" s="38" t="str">
        <x:v>- The same variable name can exist in the global scope and in a different scope.
- Within a scope, Python uses that scope's variable names, so names in different scopes do not interfere with one another.</x:v>
      </x:c>
      <x:c r="F14" s="38" t="str">
        <x:v>MjbuarJ7SE0:semantic_cosine_wp240_v1:45</x:v>
      </x:c>
      <x:c r="G14" s="38" t="str">
        <x:v>2</x:v>
      </x:c>
      <x:c r="H14" s="38" t="str">
        <x:v>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x:v>
      </x:c>
      <x:c r="I14" s="38" t="str">
        <x:v>https://www.youtube.com/watch?v=MjbuarJ7SE0&amp;t=2004s</x:v>
      </x:c>
      <x:c r="J14" s="38" t="str">
        <x:v>The evidence supports the creation and usage of local variables during a function call, including the concept of scopes, global variables, and passing values back and forth between scopes.</x:v>
      </x:c>
      <x:c r="K14" s="43" t="str"/>
      <x:c r="L14" s="43" t="str"/>
      <x:c r="M14" s="44" t="str">
        <x:f>IF(K14="","pending","reviewed")</x:f>
        <x:v>pending</x:v>
      </x:c>
    </x:row>
    <x:row r="15" ht="100" customHeight="1">
      <x:c r="A15" s="38" t="str">
        <x:v>mit60001-q-010|RvRKT-jXvko:semantic_cosine_wp240_v1:2</x:v>
      </x:c>
      <x:c r="B15" s="38" t="str">
        <x:v>mit60001-q-010</x:v>
      </x:c>
      <x:c r="C15" s="38" t="str">
        <x:v>evaluated_37</x:v>
      </x:c>
      <x:c r="D15" s="38" t="str">
        <x:v>What is the difference between mutable and immutable objects?</x:v>
      </x:c>
      <x:c r="E15" s="38" t="str">
        <x:v>- Tuples are immutable, whereas lists are mutable.
- Lists and tuples can contain elements of any type, but lists use square brackets and tuples use parentheses.</x:v>
      </x:c>
      <x:c r="F15" s="38" t="str">
        <x:v>RvRKT-jXvko:semantic_cosine_wp240_v1:2</x:v>
      </x:c>
      <x:c r="G15" s="38" t="str">
        <x:v>1</x:v>
      </x:c>
      <x:c r="H15" s="38" t="str">
        <x:v>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x:v>
      </x:c>
      <x:c r="I15" s="38" t="str">
        <x:v>https://www.youtube.com/watch?v=RvRKT-jXvko&amp;t=98s</x:v>
      </x:c>
      <x:c r="J15" s="38" t="str">
        <x:v>The evidence supports both sides of the question and the requested contrast.</x:v>
      </x:c>
      <x:c r="K15" s="43" t="str"/>
      <x:c r="L15" s="43" t="str"/>
      <x:c r="M15" s="44" t="str">
        <x:f>IF(K15="","pending","reviewed")</x:f>
        <x:v>pending</x:v>
      </x:c>
    </x:row>
    <x:row r="16" ht="100" customHeight="1">
      <x:c r="A16" s="38" t="str">
        <x:v>mit60001-q-010|RvRKT-jXvko:semantic_cosine_wp240_v1:48</x:v>
      </x:c>
      <x:c r="B16" s="38" t="str">
        <x:v>mit60001-q-010</x:v>
      </x:c>
      <x:c r="C16" s="38" t="str">
        <x:v>evaluated_37</x:v>
      </x:c>
      <x:c r="D16" s="38" t="str">
        <x:v>What is the difference between mutable and immutable objects?</x:v>
      </x:c>
      <x:c r="E16" s="38" t="str">
        <x:v>- Tuples are immutable, whereas lists are mutable.
- Lists and tuples can contain elements of any type, but lists use square brackets and tuples use parentheses.</x:v>
      </x:c>
      <x:c r="F16" s="38" t="str">
        <x:v>RvRKT-jXvko:semantic_cosine_wp240_v1:48</x:v>
      </x:c>
      <x:c r="G16" s="38" t="str">
        <x:v>2</x:v>
      </x:c>
      <x:c r="H16" s="38" t="str">
        <x:v>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x:v>
      </x:c>
      <x:c r="I16" s="38" t="str">
        <x:v>https://www.youtube.com/watch?v=RvRKT-jXvko&amp;t=2033s</x:v>
      </x:c>
      <x:c r="J16" s="38" t="str">
        <x:v>The evidence supports both sides of the question and the requested contrast.</x:v>
      </x:c>
      <x:c r="K16" s="43" t="str"/>
      <x:c r="L16" s="43" t="str"/>
      <x:c r="M16" s="44" t="str">
        <x:f>IF(K16="","pending","reviewed")</x:f>
        <x:v>pending</x:v>
      </x:c>
    </x:row>
    <x:row r="17" ht="100" customHeight="1">
      <x:c r="A17" s="38" t="str">
        <x:v>mit60001-q-015|nykOeWgQcHM:semantic_cosine_wp240_v1:44</x:v>
      </x:c>
      <x:c r="B17" s="38" t="str">
        <x:v>mit60001-q-015</x:v>
      </x:c>
      <x:c r="C17" s="38" t="str">
        <x:v>evaluated_37</x:v>
      </x:c>
      <x:c r="D17" s="38" t="str">
        <x:v>According to the course, how is using the shell different from using the editor?</x:v>
      </x:c>
      <x:c r="E17" s="38" t="str">
        <x:v>- The shell lets a user type and execute simple commands directly, typically to test something quickly.
- The editor is used to write multiple lines and more complicated programs, which can then be run.</x:v>
      </x:c>
      <x:c r="F17" s="38" t="str">
        <x:v>nykOeWgQcHM:semantic_cosine_wp240_v1:44</x:v>
      </x:c>
      <x:c r="G17" s="38" t="str">
        <x:v>3</x:v>
      </x:c>
      <x:c r="H17" s="38"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c r="I17" s="38" t="str">
        <x:v>https://www.youtube.com/watch?v=nykOeWgQcHM&amp;t=1951s</x:v>
      </x:c>
      <x:c r="J17" s="38" t="str">
        <x:v>The evidence supports both sides of the comparison and the requested contrast.</x:v>
      </x:c>
      <x:c r="K17" s="43" t="str"/>
      <x:c r="L17" s="43" t="str"/>
      <x:c r="M17" s="44" t="str">
        <x:f>IF(K17="","pending","reviewed")</x:f>
        <x:v>pending</x:v>
      </x:c>
    </x:row>
    <x:row r="18" ht="100" customHeight="1">
      <x:c r="A18" s="38" t="str">
        <x:v>mit60001-q-018|9H6muyZjms0:semantic_cosine_wp240_v1:14</x:v>
      </x:c>
      <x:c r="B18" s="38" t="str">
        <x:v>mit60001-q-018</x:v>
      </x:c>
      <x:c r="C18" s="38" t="str">
        <x:v>evaluated_37</x:v>
      </x:c>
      <x:c r="D18" s="38" t="str">
        <x:v>What does black-box testing examine according to the course?</x:v>
      </x:c>
      <x:c r="E18" s="38" t="str">
        <x:v>- Black-box testing derives test cases from the function specification or docstring without examining the implementation code.</x:v>
      </x:c>
      <x:c r="F18" s="38" t="str">
        <x:v>9H6muyZjms0:semantic_cosine_wp240_v1:14</x:v>
      </x:c>
      <x:c r="G18" s="38" t="str">
        <x:v>3</x:v>
      </x:c>
      <x:c r="H18" s="38"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I18" s="38" t="str">
        <x:v>https://www.youtube.com/watch?v=9H6muyZjms0&amp;t=556s</x:v>
      </x:c>
      <x:c r="J18" s="38" t="str">
        <x:v>The evidence supports the requested answer and covers the entire question.</x:v>
      </x:c>
      <x:c r="K18" s="43" t="str"/>
      <x:c r="L18" s="43" t="str"/>
      <x:c r="M18" s="44" t="str">
        <x:f>IF(K18="","pending","reviewed")</x:f>
        <x:v>pending</x:v>
      </x:c>
    </x:row>
    <x:row r="19" ht="100" customHeight="1">
      <x:c r="A19" s="38" t="str">
        <x:v>mit60001-q-019|7lQXYl_L28w:semantic_cosine_wp240_v1:13</x:v>
      </x:c>
      <x:c r="B19" s="38" t="str">
        <x:v>mit60001-q-019</x:v>
      </x:c>
      <x:c r="C19" s="38" t="str">
        <x:v>evaluated_37</x:v>
      </x:c>
      <x:c r="D19" s="38" t="str">
        <x:v>According to the lecture, what is the goal of bisection search?</x:v>
      </x:c>
      <x:c r="E19" s="38" t="str">
        <x:v>- Bisection search is used as a search algorithm for finding an approximation within an implicit numeric collection or range.</x:v>
      </x:c>
      <x:c r="F19" s="38" t="str">
        <x:v>7lQXYl_L28w:semantic_cosine_wp240_v1:13</x:v>
      </x:c>
      <x:c r="G19" s="38" t="str">
        <x:v>3</x:v>
      </x:c>
      <x:c r="H19"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I19" s="38" t="str">
        <x:v>https://www.youtube.com/watch?v=7lQXYl_L28w&amp;t=478s</x:v>
      </x:c>
      <x:c r="J19" s="38" t="str">
        <x:v>The whole question is covered.</x:v>
      </x:c>
      <x:c r="K19" s="43" t="str"/>
      <x:c r="L19" s="43" t="str"/>
      <x:c r="M19" s="44" t="str">
        <x:f>IF(K19="","pending","reviewed")</x:f>
        <x:v>pending</x:v>
      </x:c>
    </x:row>
    <x:row r="20" ht="100" customHeight="1">
      <x:c r="A20" s="38" t="str">
        <x:v>mit60001-q-019|SE4P7IVCunE:semantic_cosine_wp240_v1:53</x:v>
      </x:c>
      <x:c r="B20" s="38" t="str">
        <x:v>mit60001-q-019</x:v>
      </x:c>
      <x:c r="C20" s="38" t="str">
        <x:v>evaluated_37</x:v>
      </x:c>
      <x:c r="D20" s="38" t="str">
        <x:v>According to the lecture, what is the goal of bisection search?</x:v>
      </x:c>
      <x:c r="E20" s="38" t="str">
        <x:v>- Bisection search is used as a search algorithm for finding an approximation within an implicit numeric collection or range.</x:v>
      </x:c>
      <x:c r="F20" s="38" t="str">
        <x:v>SE4P7IVCunE:semantic_cosine_wp240_v1:53</x:v>
      </x:c>
      <x:c r="G20" s="38" t="str">
        <x:v>2</x:v>
      </x:c>
      <x:c r="H20" s="38"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c r="I20" s="38" t="str">
        <x:v>https://www.youtube.com/watch?v=SE4P7IVCunE&amp;t=2389s</x:v>
      </x:c>
      <x:c r="J20" s="38" t="str">
        <x:v>The whole question is covered.</x:v>
      </x:c>
      <x:c r="K20" s="43" t="str"/>
      <x:c r="L20" s="43" t="str"/>
      <x:c r="M20" s="44" t="str">
        <x:f>IF(K20="","pending","reviewed")</x:f>
        <x:v>pending</x:v>
      </x:c>
    </x:row>
    <x:row r="21" ht="100" customHeight="1">
      <x:c r="A21" s="38" t="str">
        <x:v>mit60001-q-020|SE4P7IVCunE:semantic_cosine_wp240_v1:4</x:v>
      </x:c>
      <x:c r="B21" s="38" t="str">
        <x:v>mit60001-q-020</x:v>
      </x:c>
      <x:c r="C21" s="38" t="str">
        <x:v>evaluated_37</x:v>
      </x:c>
      <x:c r="D21" s="38" t="str">
        <x:v>How does the lecture use len, indexing, and slicing to inspect or extract parts of a string?</x:v>
      </x:c>
      <x:c r="E21" s="38" t="str">
        <x:v>- len returns the number of characters in a string.
- Indexing retrieves the character at a specified position in the string.
- Slicing extracts a substring using start and stop indices and an optional step.</x:v>
      </x:c>
      <x:c r="F21" s="38" t="str">
        <x:v>SE4P7IVCunE:semantic_cosine_wp240_v1:4</x:v>
      </x:c>
      <x:c r="G21" s="38" t="str">
        <x:v>1</x:v>
      </x:c>
      <x:c r="H21" s="38" t="str">
        <x:v>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I21" s="38" t="str">
        <x:v>https://www.youtube.com/watch?v=SE4P7IVCunE&amp;t=188s</x:v>
      </x:c>
      <x:c r="J21" s="38" t="str">
        <x:v>The evidence supports the requested mechanism or behavior</x:v>
      </x:c>
      <x:c r="K21" s="43" t="str"/>
      <x:c r="L21" s="43" t="str"/>
      <x:c r="M21" s="44" t="str">
        <x:f>IF(K21="","pending","reviewed")</x:f>
        <x:v>pending</x:v>
      </x:c>
    </x:row>
    <x:row r="22" ht="100" customHeight="1">
      <x:c r="A22" s="38" t="str">
        <x:v>mit60001-q-021|0jljZRnHwOI:semantic_cosine_wp240_v1:20</x:v>
      </x:c>
      <x:c r="B22" s="38" t="str">
        <x:v>mit60001-q-021</x:v>
      </x:c>
      <x:c r="C22" s="38" t="str">
        <x:v>evaluated_37</x:v>
      </x:c>
      <x:c r="D22" s="38" t="str">
        <x:v>How does the course explain the role of Boolean comparisons in branching?</x:v>
      </x:c>
      <x:c r="E22" s="38" t="str">
        <x:v>- Boolean comparisons provide tests whose results are True or False.
- Branching uses those test results to choose which path of the program should execute.</x:v>
      </x:c>
      <x:c r="F22" s="38" t="str">
        <x:v>0jljZRnHwOI:semantic_cosine_wp240_v1:20</x:v>
      </x:c>
      <x:c r="G22" s="38" t="str">
        <x:v>1</x:v>
      </x:c>
      <x:c r="H22" s="38" t="str">
        <x:v>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x:v>
      </x:c>
      <x:c r="I22" s="38" t="str">
        <x:v>https://www.youtube.com/watch?v=0jljZRnHwOI&amp;t=977s</x:v>
      </x:c>
      <x:c r="J22" s="38" t="str">
        <x:v>The evidence supports the requested answer and covers the entire question.</x:v>
      </x:c>
      <x:c r="K22" s="43" t="str"/>
      <x:c r="L22" s="43" t="str"/>
      <x:c r="M22" s="44" t="str">
        <x:f>IF(K22="","pending","reviewed")</x:f>
        <x:v>pending</x:v>
      </x:c>
    </x:row>
    <x:row r="23" ht="100" customHeight="1">
      <x:c r="A23" s="38" t="str">
        <x:v>mit60001-q-021|FlGjISF3l78:semantic_cosine_wp240_v1:64</x:v>
      </x:c>
      <x:c r="B23" s="38" t="str">
        <x:v>mit60001-q-021</x:v>
      </x:c>
      <x:c r="C23" s="38" t="str">
        <x:v>evaluated_37</x:v>
      </x:c>
      <x:c r="D23" s="38" t="str">
        <x:v>How does the course explain the role of Boolean comparisons in branching?</x:v>
      </x:c>
      <x:c r="E23" s="38" t="str">
        <x:v>- Boolean comparisons provide tests whose results are True or False.
- Branching uses those test results to choose which path of the program should execute.</x:v>
      </x:c>
      <x:c r="F23" s="38" t="str">
        <x:v>FlGjISF3l78:semantic_cosine_wp240_v1:64</x:v>
      </x:c>
      <x:c r="G23" s="38" t="str">
        <x:v>2</x:v>
      </x:c>
      <x:c r="H23" s="38" t="str">
        <x:v>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x:v>
      </x:c>
      <x:c r="I23" s="38" t="str">
        <x:v>https://www.youtube.com/watch?v=FlGjISF3l78&amp;t=2723s</x:v>
      </x:c>
      <x:c r="J23" s="38" t="str">
        <x:v>The evidence supports the requested answer and covers the entire question.</x:v>
      </x:c>
      <x:c r="K23" s="43" t="str"/>
      <x:c r="L23" s="43" t="str"/>
      <x:c r="M23" s="44" t="str">
        <x:f>IF(K23="","pending","reviewed")</x:f>
        <x:v>pending</x:v>
      </x:c>
    </x:row>
    <x:row r="24" ht="100" customHeight="1">
      <x:c r="A24" s="38" t="str">
        <x:v>mit60001-q-021|SE4P7IVCunE:semantic_cosine_wp240_v1:28</x:v>
      </x:c>
      <x:c r="B24" s="38" t="str">
        <x:v>mit60001-q-021</x:v>
      </x:c>
      <x:c r="C24" s="38" t="str">
        <x:v>evaluated_37</x:v>
      </x:c>
      <x:c r="D24" s="38" t="str">
        <x:v>How does the course explain the role of Boolean comparisons in branching?</x:v>
      </x:c>
      <x:c r="E24" s="38" t="str">
        <x:v>- Boolean comparisons provide tests whose results are True or False.
- Branching uses those test results to choose which path of the program should execute.</x:v>
      </x:c>
      <x:c r="F24" s="38" t="str">
        <x:v>SE4P7IVCunE:semantic_cosine_wp240_v1:28</x:v>
      </x:c>
      <x:c r="G24" s="38" t="str">
        <x:v>3</x:v>
      </x:c>
      <x:c r="H24" s="38"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c r="I24" s="38" t="str">
        <x:v>https://www.youtube.com/watch?v=SE4P7IVCunE&amp;t=1298s</x:v>
      </x:c>
      <x:c r="J24" s="38" t="str">
        <x:v>The evidence supports the requested answer and covers the entire question.</x:v>
      </x:c>
      <x:c r="K24" s="43" t="str"/>
      <x:c r="L24" s="43" t="str"/>
      <x:c r="M24" s="44" t="str">
        <x:f>IF(K24="","pending","reviewed")</x:f>
        <x:v>pending</x:v>
      </x:c>
    </x:row>
    <x:row r="25" ht="100" customHeight="1">
      <x:c r="A25" s="38" t="str">
        <x:v>mit60001-q-023|MjbuarJ7SE0:semantic_cosine_wp240_v1:54</x:v>
      </x:c>
      <x:c r="B25" s="38" t="str">
        <x:v>mit60001-q-023</x:v>
      </x:c>
      <x:c r="C25" s="38" t="str">
        <x:v>excluded_existing</x:v>
      </x:c>
      <x:c r="D25" s="38" t="str">
        <x:v>How does the course explain abstraction when functions are used in a program?</x:v>
      </x:c>
      <x:c r="E25"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25" s="38" t="str">
        <x:v>MjbuarJ7SE0:semantic_cosine_wp240_v1:54</x:v>
      </x:c>
      <x:c r="G25" s="38" t="str">
        <x:v>2</x:v>
      </x:c>
      <x:c r="H25"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I25" s="38" t="str">
        <x:v>https://www.youtube.com/watch?v=MjbuarJ7SE0&amp;t=2418s</x:v>
      </x:c>
      <x:c r="J25" s="38" t="str">
        <x:v>The evidence supports the requested mechanism or behavior. The selected excerpts directly explain abstraction when functions are used in a program.</x:v>
      </x:c>
      <x:c r="K25" s="43" t="str"/>
      <x:c r="L25" s="43" t="str"/>
      <x:c r="M25" s="44" t="str">
        <x:f>IF(K25="","pending","reviewed")</x:f>
        <x:v>pending</x:v>
      </x:c>
    </x:row>
    <x:row r="26" ht="100" customHeight="1">
      <x:c r="A26" s="38" t="str">
        <x:v>mit60001-q-023|MjbuarJ7SE0:semantic_cosine_wp240_v1:6</x:v>
      </x:c>
      <x:c r="B26" s="38" t="str">
        <x:v>mit60001-q-023</x:v>
      </x:c>
      <x:c r="C26" s="38" t="str">
        <x:v>excluded_existing</x:v>
      </x:c>
      <x:c r="D26" s="38" t="str">
        <x:v>How does the course explain abstraction when functions are used in a program?</x:v>
      </x:c>
      <x:c r="E26"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26" s="38" t="str">
        <x:v>MjbuarJ7SE0:semantic_cosine_wp240_v1:6</x:v>
      </x:c>
      <x:c r="G26" s="38" t="str">
        <x:v>3</x:v>
      </x:c>
      <x:c r="H26" s="38"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I26" s="38" t="str">
        <x:v>https://www.youtube.com/watch?v=MjbuarJ7SE0&amp;t=247s</x:v>
      </x:c>
      <x:c r="J26" s="38" t="str">
        <x:v>The evidence supports the requested mechanism or behavior. The selected excerpts directly explain abstraction when functions are used in a program.</x:v>
      </x:c>
      <x:c r="K26" s="43" t="str"/>
      <x:c r="L26" s="43" t="str"/>
      <x:c r="M26" s="44" t="str">
        <x:f>IF(K26="","pending","reviewed")</x:f>
        <x:v>pending</x:v>
      </x:c>
    </x:row>
    <x:row r="27" ht="100" customHeight="1">
      <x:c r="A27" s="38" t="str">
        <x:v>mit60001-q-026|7lQXYl_L28w:semantic_cosine_wp240_v1:16</x:v>
      </x:c>
      <x:c r="B27" s="38" t="str">
        <x:v>mit60001-q-026</x:v>
      </x:c>
      <x:c r="C27" s="38" t="str">
        <x:v>evaluated_37</x:v>
      </x:c>
      <x:c r="D27" s="38" t="str">
        <x:v>What happens when a list element is accessed using an index?</x:v>
      </x:c>
      <x:c r="E27" s="38" t="str">
        <x:v>- Python can locate the address of the indexed list slot and follow the stored pointer to the object in memory.
- Because the address of the i-th slot is known, any list element can be accessed by index in constant time.</x:v>
      </x:c>
      <x:c r="F27" s="38" t="str">
        <x:v>7lQXYl_L28w:semantic_cosine_wp240_v1:16</x:v>
      </x:c>
      <x:c r="G27" s="38" t="str">
        <x:v>3</x:v>
      </x:c>
      <x:c r="H27" s="38" t="str">
        <x:v>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c r="I27" s="38" t="str">
        <x:v>https://www.youtube.com/watch?v=7lQXYl_L28w&amp;t=571s</x:v>
      </x:c>
      <x:c r="J27" s="38" t="str">
        <x:v>The whole question is covered</x:v>
      </x:c>
      <x:c r="K27" s="43" t="str"/>
      <x:c r="L27" s="43" t="str"/>
      <x:c r="M27" s="44" t="str">
        <x:f>IF(K27="","pending","reviewed")</x:f>
        <x:v>pending</x:v>
      </x:c>
    </x:row>
    <x:row r="28" ht="100" customHeight="1">
      <x:c r="A28" s="38" t="str">
        <x:v>mit60001-q-026|RvRKT-jXvko:semantic_cosine_wp240_v1:23</x:v>
      </x:c>
      <x:c r="B28" s="38" t="str">
        <x:v>mit60001-q-026</x:v>
      </x:c>
      <x:c r="C28" s="38" t="str">
        <x:v>evaluated_37</x:v>
      </x:c>
      <x:c r="D28" s="38" t="str">
        <x:v>What happens when a list element is accessed using an index?</x:v>
      </x:c>
      <x:c r="E28" s="38" t="str">
        <x:v>- Python can locate the address of the indexed list slot and follow the stored pointer to the object in memory.
- Because the address of the i-th slot is known, any list element can be accessed by index in constant time.</x:v>
      </x:c>
      <x:c r="F28" s="38" t="str">
        <x:v>RvRKT-jXvko:semantic_cosine_wp240_v1:23</x:v>
      </x:c>
      <x:c r="G28" s="38" t="str">
        <x:v>2</x:v>
      </x:c>
      <x:c r="H28" s="38"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I28" s="38" t="str">
        <x:v>https://www.youtube.com/watch?v=RvRKT-jXvko&amp;t=965s</x:v>
      </x:c>
      <x:c r="J28" s="38" t="str">
        <x:v>The whole question is covered</x:v>
      </x:c>
      <x:c r="K28" s="43" t="str"/>
      <x:c r="L28" s="43" t="str"/>
      <x:c r="M28" s="44" t="str">
        <x:f>IF(K28="","pending","reviewed")</x:f>
        <x:v>pending</x:v>
      </x:c>
    </x:row>
    <x:row r="29" ht="100" customHeight="1">
      <x:c r="A29" s="38" t="str">
        <x:v>mit60001-q-027|zYVWQpCitKQ:semantic_cosine_wp240_v1:1</x:v>
      </x:c>
      <x:c r="B29" s="38" t="str">
        <x:v>mit60001-q-027</x:v>
      </x:c>
      <x:c r="C29" s="38" t="str">
        <x:v>evaluated_37</x:v>
      </x:c>
      <x:c r="D29" s="38" t="str">
        <x:v>How does a for loop process the characters in a string?</x:v>
      </x:c>
      <x:c r="E29" s="38" t="str">
        <x:v>- A for loop over a string iterates directly over every character rather than over numeric indices.
- On each iteration, the loop variable holds one character from the string.</x:v>
      </x:c>
      <x:c r="F29" s="38" t="str">
        <x:v>zYVWQpCitKQ:semantic_cosine_wp240_v1:1</x:v>
      </x:c>
      <x:c r="G29" s="38" t="str">
        <x:v>2</x:v>
      </x:c>
      <x:c r="H29" s="38" t="str">
        <x:v>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x:v>
      </x:c>
      <x:c r="I29" s="38" t="str">
        <x:v>https://www.youtube.com/watch?v=zYVWQpCitKQ&amp;t=54s</x:v>
      </x:c>
      <x:c r="J29" s="38" t="str">
        <x:v>The evidence supports the mechanism of how a for loop processes characters in a string.</x:v>
      </x:c>
      <x:c r="K29" s="43" t="str"/>
      <x:c r="L29" s="43" t="str"/>
      <x:c r="M29" s="44" t="str">
        <x:f>IF(K29="","pending","reviewed")</x:f>
        <x:v>pending</x:v>
      </x:c>
    </x:row>
    <x:row r="30" ht="100" customHeight="1">
      <x:c r="A30" s="38" t="str">
        <x:v>mit60001-q-029|MjbuarJ7SE0:semantic_cosine_wp240_v1:20</x:v>
      </x:c>
      <x:c r="B30" s="38" t="str">
        <x:v>mit60001-q-029</x:v>
      </x:c>
      <x:c r="C30" s="38" t="str">
        <x:v>evaluated_37</x:v>
      </x:c>
      <x:c r="D30" s="38" t="str">
        <x:v>How does a function return a value to its caller?</x:v>
      </x:c>
      <x:c r="E30" s="38" t="str">
        <x:v>- A return statement specifies an expression whose evaluated value is sent back by the function.
- The code that called the function receives that returned value.</x:v>
      </x:c>
      <x:c r="F30" s="38" t="str">
        <x:v>MjbuarJ7SE0:semantic_cosine_wp240_v1:20</x:v>
      </x:c>
      <x:c r="G30" s="38" t="str">
        <x:v>2</x:v>
      </x:c>
      <x:c r="H30" s="38" t="str">
        <x:v>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x:v>
      </x:c>
      <x:c r="I30" s="38" t="str">
        <x:v>https://www.youtube.com/watch?v=MjbuarJ7SE0&amp;t=867s</x:v>
      </x:c>
      <x:c r="J30" s="38" t="str">
        <x:v>The evidence supports the mechanism by which a function returns a value to its caller.</x:v>
      </x:c>
      <x:c r="K30" s="43" t="str"/>
      <x:c r="L30" s="43" t="str"/>
      <x:c r="M30" s="44" t="str">
        <x:f>IF(K30="","pending","reviewed")</x:f>
        <x:v>pending</x:v>
      </x:c>
    </x:row>
    <x:row r="31" ht="100" customHeight="1">
      <x:c r="A31" s="38" t="str">
        <x:v>mit60001-q-029|MjbuarJ7SE0:semantic_cosine_wp240_v1:21</x:v>
      </x:c>
      <x:c r="B31" s="38" t="str">
        <x:v>mit60001-q-029</x:v>
      </x:c>
      <x:c r="C31" s="38" t="str">
        <x:v>evaluated_37</x:v>
      </x:c>
      <x:c r="D31" s="38" t="str">
        <x:v>How does a function return a value to its caller?</x:v>
      </x:c>
      <x:c r="E31" s="38" t="str">
        <x:v>- A return statement specifies an expression whose evaluated value is sent back by the function.
- The code that called the function receives that returned value.</x:v>
      </x:c>
      <x:c r="F31" s="38" t="str">
        <x:v>MjbuarJ7SE0:semantic_cosine_wp240_v1:21</x:v>
      </x:c>
      <x:c r="G31" s="38" t="str">
        <x:v>3</x:v>
      </x:c>
      <x:c r="H31" s="38"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I31" s="38" t="str">
        <x:v>https://www.youtube.com/watch?v=MjbuarJ7SE0&amp;t=913s</x:v>
      </x:c>
      <x:c r="J31" s="38" t="str">
        <x:v>The evidence supports the mechanism by which a function returns a value to its caller.</x:v>
      </x:c>
      <x:c r="K31" s="43" t="str"/>
      <x:c r="L31" s="43" t="str"/>
      <x:c r="M31" s="44" t="str">
        <x:f>IF(K31="","pending","reviewed")</x:f>
        <x:v>pending</x:v>
      </x:c>
    </x:row>
    <x:row r="32" ht="100" customHeight="1">
      <x:c r="A32" s="38" t="str">
        <x:v>mit60001-q-031|RvRKT-jXvko:semantic_cosine_wp240_v1:37</x:v>
      </x:c>
      <x:c r="B32" s="38" t="str">
        <x:v>mit60001-q-031</x:v>
      </x:c>
      <x:c r="C32" s="38" t="str">
        <x:v>evaluated_37</x:v>
      </x:c>
      <x:c r="D32" s="38" t="str">
        <x:v>What happens when a list is mutated through one of several aliases?</x:v>
      </x:c>
      <x:c r="E32" s="38" t="str">
        <x:v>- All aliases point to the same mutable list object in memory.
- Mutating the list through one alias changes that shared object, so the changed value is visible through every alias.</x:v>
      </x:c>
      <x:c r="F32" s="38" t="str">
        <x:v>RvRKT-jXvko:semantic_cosine_wp240_v1:37</x:v>
      </x:c>
      <x:c r="G32" s="38" t="str">
        <x:v>2</x:v>
      </x:c>
      <x:c r="H32" s="38"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c r="I32" s="38" t="str">
        <x:v>https://www.youtube.com/watch?v=RvRKT-jXvko&amp;t=1583s</x:v>
      </x:c>
      <x:c r="J32" s="38" t="str">
        <x:v>The evidence supports the requested behavior of lists being mutated through aliases.</x:v>
      </x:c>
      <x:c r="K32" s="43" t="str"/>
      <x:c r="L32" s="43" t="str"/>
      <x:c r="M32" s="44" t="str">
        <x:f>IF(K32="","pending","reviewed")</x:f>
        <x:v>pending</x:v>
      </x:c>
    </x:row>
    <x:row r="33" ht="100" customHeight="1">
      <x:c r="A33" s="38" t="str">
        <x:v>mit60001-q-031|RvRKT-jXvko:semantic_cosine_wp240_v1:49</x:v>
      </x:c>
      <x:c r="B33" s="38" t="str">
        <x:v>mit60001-q-031</x:v>
      </x:c>
      <x:c r="C33" s="38" t="str">
        <x:v>evaluated_37</x:v>
      </x:c>
      <x:c r="D33" s="38" t="str">
        <x:v>What happens when a list is mutated through one of several aliases?</x:v>
      </x:c>
      <x:c r="E33" s="38" t="str">
        <x:v>- All aliases point to the same mutable list object in memory.
- Mutating the list through one alias changes that shared object, so the changed value is visible through every alias.</x:v>
      </x:c>
      <x:c r="F33" s="38" t="str">
        <x:v>RvRKT-jXvko:semantic_cosine_wp240_v1:49</x:v>
      </x:c>
      <x:c r="G33" s="38" t="str">
        <x:v>3</x:v>
      </x:c>
      <x:c r="H33" s="38" t="str">
        <x:v>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I33" s="38" t="str">
        <x:v>https://www.youtube.com/watch?v=RvRKT-jXvko&amp;t=2061s</x:v>
      </x:c>
      <x:c r="J33" s="38" t="str">
        <x:v>The evidence supports the requested behavior of lists being mutated through aliases.</x:v>
      </x:c>
      <x:c r="K33" s="43" t="str"/>
      <x:c r="L33" s="43" t="str"/>
      <x:c r="M33" s="44" t="str">
        <x:f>IF(K33="","pending","reviewed")</x:f>
        <x:v>pending</x:v>
      </x:c>
    </x:row>
    <x:row r="34" ht="100" customHeight="1">
      <x:c r="A34" s="38" t="str">
        <x:v>mit60001-q-033|MjbuarJ7SE0:semantic_cosine_wp240_v1:54</x:v>
      </x:c>
      <x:c r="B34" s="38" t="str">
        <x:v>mit60001-q-033</x:v>
      </x:c>
      <x:c r="C34" s="38" t="str">
        <x:v>evaluated_37</x:v>
      </x:c>
      <x:c r="D34" s="38" t="str">
        <x:v>How does the course connect decomposition and abstraction when building programs with functions?</x:v>
      </x:c>
      <x:c r="E34" s="38"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F34" s="38" t="str">
        <x:v>MjbuarJ7SE0:semantic_cosine_wp240_v1:54</x:v>
      </x:c>
      <x:c r="G34" s="38" t="str">
        <x:v>3</x:v>
      </x:c>
      <x:c r="H34"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I34" s="38" t="str">
        <x:v>https://www.youtube.com/watch?v=MjbuarJ7SE0&amp;t=2418s</x:v>
      </x:c>
      <x:c r="J34" s="38" t="str">
        <x:v>The evidence supports both sides of the question and provides direct support for the requested contrast.</x:v>
      </x:c>
      <x:c r="K34" s="43" t="str"/>
      <x:c r="L34" s="43" t="str"/>
      <x:c r="M34" s="44" t="str">
        <x:f>IF(K34="","pending","reviewed")</x:f>
        <x:v>pending</x:v>
      </x:c>
    </x:row>
    <x:row r="35" ht="100" customHeight="1">
      <x:c r="A35" s="38" t="str">
        <x:v>mit60001-q-034|9H6muyZjms0:semantic_cosine_wp240_v1:31</x:v>
      </x:c>
      <x:c r="B35" s="38" t="str">
        <x:v>mit60001-q-034</x:v>
      </x:c>
      <x:c r="C35" s="38" t="str">
        <x:v>evaluated_37</x:v>
      </x:c>
      <x:c r="D35" s="38" t="str">
        <x:v>How does the course connect testing and debugging when finding program errors?</x:v>
      </x:c>
      <x:c r="E35" s="38" t="str">
        <x:v>- Testing uses expected and actual results to identify what is wrong.
- Debugging then determines how or why the bad result occurred and pinpoints the responsible line, lines, or function.</x:v>
      </x:c>
      <x:c r="F35" s="38" t="str">
        <x:v>9H6muyZjms0:semantic_cosine_wp240_v1:31</x:v>
      </x:c>
      <x:c r="G35" s="38" t="str">
        <x:v>1</x:v>
      </x:c>
      <x:c r="H35" s="38"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I35" s="38" t="str">
        <x:v>https://www.youtube.com/watch?v=9H6muyZjms0&amp;t=1286s</x:v>
      </x:c>
      <x:c r="J35" s="38" t="str">
        <x:v>The evidence supports the connection between testing and debugging when finding program errors.</x:v>
      </x:c>
      <x:c r="K35" s="43" t="str"/>
      <x:c r="L35" s="43" t="str"/>
      <x:c r="M35" s="44" t="str">
        <x:f>IF(K35="","pending","reviewed")</x:f>
        <x:v>pending</x:v>
      </x:c>
    </x:row>
    <x:row r="36" ht="100" customHeight="1">
      <x:c r="A36" s="38" t="str">
        <x:v>mit60001-q-035|RvRKT-jXvko:semantic_cosine_wp240_v1:47</x:v>
      </x:c>
      <x:c r="B36" s="38" t="str">
        <x:v>mit60001-q-035</x:v>
      </x:c>
      <x:c r="C36" s="38" t="str">
        <x:v>evaluated_37</x:v>
      </x:c>
      <x:c r="D36" s="38" t="str">
        <x:v>How does the course connect list aliasing with mutation side effects?</x:v>
      </x:c>
      <x:c r="E36" s="38" t="str">
        <x:v>- Aliasing means two names can point to the same list object.
- Because the list is mutable, a change made through one alias changes the shared object and appears through the other alias.
- This shared visible change is a mutation side effect.</x:v>
      </x:c>
      <x:c r="F36" s="38" t="str">
        <x:v>RvRKT-jXvko:semantic_cosine_wp240_v1:47</x:v>
      </x:c>
      <x:c r="G36" s="38" t="str">
        <x:v>1</x:v>
      </x:c>
      <x:c r="H36" s="38"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I36" s="38" t="str">
        <x:v>https://www.youtube.com/watch?v=RvRKT-jXvko&amp;t=1995s</x:v>
      </x:c>
      <x:c r="J36" s="38" t="str">
        <x:v>The evidence supports both sides of the question and provides direct support for the requested mechanism.</x:v>
      </x:c>
      <x:c r="K36" s="43" t="str"/>
      <x:c r="L36" s="43" t="str"/>
      <x:c r="M36" s="44" t="str">
        <x:f>IF(K36="","pending","reviewed")</x:f>
        <x:v>pending</x:v>
      </x:c>
    </x:row>
    <x:row r="37" ht="100" customHeight="1">
      <x:c r="A37" s="38" t="str">
        <x:v>mit60001-q-038|7lQXYl_L28w:semantic_cosine_wp240_v1:13</x:v>
      </x:c>
      <x:c r="B37" s="38" t="str">
        <x:v>mit60001-q-038</x:v>
      </x:c>
      <x:c r="C37" s="38" t="str">
        <x:v>evaluated_37</x:v>
      </x:c>
      <x:c r="D37" s="38" t="str">
        <x:v>How does the requirement for sorted input distinguish binary search from linear search?</x:v>
      </x:c>
      <x:c r="E37" s="38" t="str">
        <x:v>- Bisection search requires the list to be sorted, and the ordering lets it cut down the size of the remaining search problem.
- Linear search does not require sorted input and may scan through the list until it finds the target or reaches the end.</x:v>
      </x:c>
      <x:c r="F37" s="38" t="str">
        <x:v>7lQXYl_L28w:semantic_cosine_wp240_v1:13</x:v>
      </x:c>
      <x:c r="G37" s="38" t="str">
        <x:v>3</x:v>
      </x:c>
      <x:c r="H37"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I37" s="38" t="str">
        <x:v>https://www.youtube.com/watch?v=7lQXYl_L28w&amp;t=478s</x:v>
      </x:c>
      <x:c r="J37" s="38" t="str">
        <x:v>The evidence supports both sides of the question and the requested contrast between binary search and linear search.</x:v>
      </x:c>
      <x:c r="K37" s="43" t="str"/>
      <x:c r="L37" s="43" t="str"/>
      <x:c r="M37" s="44" t="str">
        <x:f>IF(K37="","pending","reviewed")</x:f>
        <x:v>pending</x:v>
      </x:c>
    </x:row>
    <x:row r="38" ht="100" customHeight="1">
      <x:c r="A38" s="38" t="str">
        <x:v>mit60001-q-038|o9nW0uBqvEo:semantic_cosine_wp240_v1:70</x:v>
      </x:c>
      <x:c r="B38" s="38" t="str">
        <x:v>mit60001-q-038</x:v>
      </x:c>
      <x:c r="C38" s="38" t="str">
        <x:v>evaluated_37</x:v>
      </x:c>
      <x:c r="D38" s="38" t="str">
        <x:v>How does the requirement for sorted input distinguish binary search from linear search?</x:v>
      </x:c>
      <x:c r="E38" s="38" t="str">
        <x:v>- Bisection search requires the list to be sorted, and the ordering lets it cut down the size of the remaining search problem.
- Linear search does not require sorted input and may scan through the list until it finds the target or reaches the end.</x:v>
      </x:c>
      <x:c r="F38" s="38" t="str">
        <x:v>o9nW0uBqvEo:semantic_cosine_wp240_v1:70</x:v>
      </x:c>
      <x:c r="G38" s="38" t="str">
        <x:v>2</x:v>
      </x:c>
      <x:c r="H38" s="38"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c r="I38" s="38" t="str">
        <x:v>https://www.youtube.com/watch?v=o9nW0uBqvEo&amp;t=2689s</x:v>
      </x:c>
      <x:c r="J38" s="38" t="str">
        <x:v>The evidence supports both sides of the question and the requested contrast between binary search and linear search.</x:v>
      </x:c>
      <x:c r="K38" s="43" t="str"/>
      <x:c r="L38" s="43" t="str"/>
      <x:c r="M38" s="44" t="str">
        <x:f>IF(K38="","pending","reviewed")</x:f>
        <x:v>pending</x:v>
      </x:c>
    </x:row>
    <x:row r="39" ht="100" customHeight="1">
      <x:c r="A39" s="38" t="str">
        <x:v>mit60001-q-039|9H6muyZjms0:semantic_cosine_wp240_v1:17</x:v>
      </x:c>
      <x:c r="B39" s="38" t="str">
        <x:v>mit60001-q-039</x:v>
      </x:c>
      <x:c r="C39" s="38" t="str">
        <x:v>evaluated_37</x:v>
      </x:c>
      <x:c r="D39" s="38" t="str">
        <x:v>How does the course distinguish black-box testing from glass-box testing?</x:v>
      </x:c>
      <x:c r="E39" s="38" t="str">
        <x:v>- Black-box testing creates tests from the specification or docstring without using the implementation code.
- Glass-box testing uses the code itself to design tests that exercise its possible execution paths.</x:v>
      </x:c>
      <x:c r="F39" s="38" t="str">
        <x:v>9H6muyZjms0:semantic_cosine_wp240_v1:17</x:v>
      </x:c>
      <x:c r="G39" s="38" t="str">
        <x:v>3</x:v>
      </x:c>
      <x:c r="H39" s="38" t="str">
        <x:v>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x:v>
      </x:c>
      <x:c r="I39" s="38" t="str">
        <x:v>https://www.youtube.com/watch?v=9H6muyZjms0&amp;t=704s</x:v>
      </x:c>
      <x:c r="J39" s="38" t="str">
        <x:v>The evidence supports the distinction between black-box testing and glass-box testing, covering the key aspects of each approach.</x:v>
      </x:c>
      <x:c r="K39" s="43" t="str"/>
      <x:c r="L39" s="43" t="str"/>
      <x:c r="M39" s="44" t="str">
        <x:f>IF(K39="","pending","reviewed")</x:f>
        <x:v>pending</x:v>
      </x:c>
    </x:row>
  </x:sheetData>
  <x:dataValidations count="1">
    <x:dataValidation type="list" sqref="K2:K39">
      <x:formula1>"supports,does_not_support,needs_discussion"</x:formula1>
    </x:dataValidation>
  </x:dataValidations>
  <x:pageMargins left="0.7" right="0.7" top="0.75" bottom="0.75" header="0.3" footer="0.3"/>
  <x:tableParts count="1">
    <x:tablePart xmlns:r="http://schemas.openxmlformats.org/officeDocument/2006/relationships" r:id="R1f503a10af0f4e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50" hidden="0" customWidth="1"/>
    <x:col min="2" max="2" width="20" hidden="0" customWidth="1"/>
    <x:col min="3" max="3" width="20" hidden="0" customWidth="1"/>
    <x:col min="4" max="4" width="48" hidden="0" customWidth="1"/>
    <x:col min="5" max="5" width="62" hidden="0" customWidth="1"/>
    <x:col min="6" max="6" width="20" hidden="0" customWidth="1"/>
    <x:col min="7" max="7" width="20" hidden="0" customWidth="1"/>
    <x:col min="8" max="8" width="20" hidden="0" customWidth="1"/>
    <x:col min="9" max="9" width="50" hidden="0" customWidth="1"/>
    <x:col min="10" max="10" width="20" hidden="0" customWidth="1"/>
    <x:col min="11" max="11" width="88" hidden="0" customWidth="1"/>
    <x:col min="12" max="12" width="38" hidden="0" customWidth="1"/>
    <x:col min="13" max="13" width="55" hidden="0" customWidth="1"/>
    <x:col min="14" max="14" width="55" hidden="0" customWidth="1"/>
    <x:col min="15" max="15" width="24" hidden="0" customWidth="1"/>
    <x:col min="16" max="16" width="24" hidden="0" customWidth="1"/>
    <x:col min="17" max="17" width="24" hidden="0" customWidth="1"/>
    <x:col min="18" max="18" width="24" hidden="0" customWidth="1"/>
  </x:cols>
  <x:sheetData>
    <x:row r="1" ht="34" customHeight="1">
      <x:c r="A1" s="42" t="str">
        <x:v>review_key</x:v>
      </x:c>
      <x:c r="B1" s="42" t="str">
        <x:v>question_id</x:v>
      </x:c>
      <x:c r="C1" s="42" t="str">
        <x:v>decision_evaluation_scope</x:v>
      </x:c>
      <x:c r="D1" s="42" t="str">
        <x:v>question</x:v>
      </x:c>
      <x:c r="E1" s="42" t="str">
        <x:v>expected_answer_points</x:v>
      </x:c>
      <x:c r="F1" s="42" t="str">
        <x:v>selected_by_variants</x:v>
      </x:c>
      <x:c r="G1" s="42" t="str">
        <x:v>control_e1_selected</x:v>
      </x:c>
      <x:c r="H1" s="42" t="str">
        <x:v>candidate_e2_selected</x:v>
      </x:c>
      <x:c r="I1" s="42" t="str">
        <x:v>supporting_chunk_id</x:v>
      </x:c>
      <x:c r="J1" s="42" t="str">
        <x:v>supporting_rank</x:v>
      </x:c>
      <x:c r="K1" s="42" t="str">
        <x:v>supporting_chunk_text</x:v>
      </x:c>
      <x:c r="L1" s="42" t="str">
        <x:v>citation_url</x:v>
      </x:c>
      <x:c r="M1" s="42" t="str">
        <x:v>e1_reason</x:v>
      </x:c>
      <x:c r="N1" s="42" t="str">
        <x:v>e2_reason</x:v>
      </x:c>
      <x:c r="O1" s="42" t="str">
        <x:v>verdict_source</x:v>
      </x:c>
      <x:c r="P1" s="42" t="str">
        <x:v>human_entailment_verdict</x:v>
      </x:c>
      <x:c r="Q1" s="42" t="str">
        <x:v>human_notes</x:v>
      </x:c>
      <x:c r="R1" s="42" t="str">
        <x:v>human_review_status</x:v>
      </x:c>
    </x:row>
    <x:row r="2" ht="74" customHeight="1">
      <x:c r="A2" s="38" t="str">
        <x:v>mit60001-q-001|nykOeWgQcHM:semantic_cosine_wp240_v1:3</x:v>
      </x:c>
      <x:c r="B2" s="38" t="str">
        <x:v>mit60001-q-001</x:v>
      </x:c>
      <x:c r="C2" s="38" t="str">
        <x:v>evaluated_37</x:v>
      </x:c>
      <x:c r="D2" s="38" t="str">
        <x:v>According to the course introduction, what learning goals are introduced for students?</x:v>
      </x:c>
      <x:c r="E2"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2" s="38" t="str">
        <x:v>candidate_v2_e2</x:v>
      </x:c>
      <x:c r="G2" s="38" t="str">
        <x:v>False</x:v>
      </x:c>
      <x:c r="H2" s="38" t="str">
        <x:v>True</x:v>
      </x:c>
      <x:c r="I2" s="38" t="str">
        <x:v>nykOeWgQcHM:semantic_cosine_wp240_v1:3</x:v>
      </x:c>
      <x:c r="J2" s="38" t="str">
        <x:v>2</x:v>
      </x:c>
      <x:c r="K2" s="38"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c r="L2" s="38" t="str">
        <x:v>https://www.youtube.com/watch?v=nykOeWgQcHM&amp;t=127s</x:v>
      </x:c>
      <x:c r="M2" s="38" t="str"/>
      <x:c r="N2" s="38" t="str">
        <x:v>The whole question is covered.</x:v>
      </x:c>
      <x:c r="O2" s="38" t="str"/>
      <x:c r="P2" s="38" t="str"/>
      <x:c r="Q2" s="38" t="str"/>
      <x:c r="R2" s="38" t="str">
        <x:v>pending</x:v>
      </x:c>
    </x:row>
    <x:row r="3" ht="74" customHeight="1">
      <x:c r="A3" s="38" t="str">
        <x:v>mit60001-q-001|nykOeWgQcHM:semantic_cosine_wp240_v1:6</x:v>
      </x:c>
      <x:c r="B3" s="38" t="str">
        <x:v>mit60001-q-001</x:v>
      </x:c>
      <x:c r="C3" s="38" t="str">
        <x:v>evaluated_37</x:v>
      </x:c>
      <x:c r="D3" s="38" t="str">
        <x:v>According to the course introduction, what learning goals are introduced for students?</x:v>
      </x:c>
      <x:c r="E3"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3" s="38" t="str">
        <x:v>candidate_v2_e2</x:v>
      </x:c>
      <x:c r="G3" s="38" t="str">
        <x:v>False</x:v>
      </x:c>
      <x:c r="H3" s="38" t="str">
        <x:v>True</x:v>
      </x:c>
      <x:c r="I3" s="38" t="str">
        <x:v>nykOeWgQcHM:semantic_cosine_wp240_v1:6</x:v>
      </x:c>
      <x:c r="J3" s="38" t="str">
        <x:v>1</x:v>
      </x:c>
      <x:c r="K3"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L3" s="38" t="str">
        <x:v>https://www.youtube.com/watch?v=nykOeWgQcHM&amp;t=261s</x:v>
      </x:c>
      <x:c r="M3" s="38" t="str"/>
      <x:c r="N3" s="38" t="str">
        <x:v>The whole question is covered.</x:v>
      </x:c>
      <x:c r="O3" s="38" t="str"/>
      <x:c r="P3" s="38" t="str"/>
      <x:c r="Q3" s="38" t="str"/>
      <x:c r="R3" s="38" t="str">
        <x:v>pending</x:v>
      </x:c>
    </x:row>
    <x:row r="4" ht="74" customHeight="1">
      <x:c r="A4" s="38" t="str">
        <x:v>mit60001-q-001|nykOeWgQcHM:semantic_cosine_wp240_v1:7</x:v>
      </x:c>
      <x:c r="B4" s="38" t="str">
        <x:v>mit60001-q-001</x:v>
      </x:c>
      <x:c r="C4" s="38" t="str">
        <x:v>evaluated_37</x:v>
      </x:c>
      <x:c r="D4" s="38" t="str">
        <x:v>According to the course introduction, what learning goals are introduced for students?</x:v>
      </x:c>
      <x:c r="E4"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4" s="38" t="str">
        <x:v>candidate_v2_e2</x:v>
      </x:c>
      <x:c r="G4" s="38" t="str">
        <x:v>False</x:v>
      </x:c>
      <x:c r="H4" s="38" t="str">
        <x:v>True</x:v>
      </x:c>
      <x:c r="I4" s="38" t="str">
        <x:v>nykOeWgQcHM:semantic_cosine_wp240_v1:7</x:v>
      </x:c>
      <x:c r="J4" s="38" t="str">
        <x:v>3</x:v>
      </x:c>
      <x:c r="K4" s="38"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L4" s="38" t="str">
        <x:v>https://www.youtube.com/watch?v=nykOeWgQcHM&amp;t=306s</x:v>
      </x:c>
      <x:c r="M4" s="38" t="str"/>
      <x:c r="N4" s="38" t="str">
        <x:v>The whole question is covered.</x:v>
      </x:c>
      <x:c r="O4" s="38" t="str"/>
      <x:c r="P4" s="38" t="str"/>
      <x:c r="Q4" s="38" t="str"/>
      <x:c r="R4" s="38" t="str">
        <x:v>pending</x:v>
      </x:c>
    </x:row>
    <x:row r="5" ht="74" customHeight="1">
      <x:c r="A5" s="38" t="str">
        <x:v>mit60001-q-002|nykOeWgQcHM:semantic_cosine_wp240_v1:5</x:v>
      </x:c>
      <x:c r="B5" s="38" t="str">
        <x:v>mit60001-q-002</x:v>
      </x:c>
      <x:c r="C5" s="38" t="str">
        <x:v>evaluated_37</x:v>
      </x:c>
      <x:c r="D5" s="38" t="str">
        <x:v>What does the course say students should do to practice programming effectively?</x:v>
      </x:c>
      <x:c r="E5" s="38" t="str">
        <x:v>- Read problem sets early to become familiar with terminology.
- Practice programming directly rather than only watching someone else code.
- Download the code before lecture.</x:v>
      </x:c>
      <x:c r="F5" s="38" t="str">
        <x:v>candidate_v2_e2</x:v>
      </x:c>
      <x:c r="G5" s="38" t="str">
        <x:v>False</x:v>
      </x:c>
      <x:c r="H5" s="38" t="str">
        <x:v>True</x:v>
      </x:c>
      <x:c r="I5" s="38" t="str">
        <x:v>nykOeWgQcHM:semantic_cosine_wp240_v1:5</x:v>
      </x:c>
      <x:c r="J5" s="38" t="str">
        <x:v>3</x:v>
      </x:c>
      <x:c r="K5" s="38"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c r="L5" s="38" t="str">
        <x:v>https://www.youtube.com/watch?v=nykOeWgQcHM&amp;t=215s</x:v>
      </x:c>
      <x:c r="M5" s="38" t="str"/>
      <x:c r="N5" s="38" t="str">
        <x:v>The evidence supports the requested answer and covers the entire question.</x:v>
      </x:c>
      <x:c r="O5" s="38" t="str"/>
      <x:c r="P5" s="38" t="str"/>
      <x:c r="Q5" s="38" t="str"/>
      <x:c r="R5" s="38" t="str">
        <x:v>pending</x:v>
      </x:c>
    </x:row>
    <x:row r="6" ht="74" customHeight="1">
      <x:c r="A6" s="38" t="str">
        <x:v>mit60001-q-002|nykOeWgQcHM:semantic_cosine_wp240_v1:6</x:v>
      </x:c>
      <x:c r="B6" s="38" t="str">
        <x:v>mit60001-q-002</x:v>
      </x:c>
      <x:c r="C6" s="38" t="str">
        <x:v>evaluated_37</x:v>
      </x:c>
      <x:c r="D6" s="38" t="str">
        <x:v>What does the course say students should do to practice programming effectively?</x:v>
      </x:c>
      <x:c r="E6" s="38" t="str">
        <x:v>- Read problem sets early to become familiar with terminology.
- Practice programming directly rather than only watching someone else code.
- Download the code before lecture.</x:v>
      </x:c>
      <x:c r="F6" s="38" t="str">
        <x:v>candidate_v2_e2</x:v>
      </x:c>
      <x:c r="G6" s="38" t="str">
        <x:v>False</x:v>
      </x:c>
      <x:c r="H6" s="38" t="str">
        <x:v>True</x:v>
      </x:c>
      <x:c r="I6" s="38" t="str">
        <x:v>nykOeWgQcHM:semantic_cosine_wp240_v1:6</x:v>
      </x:c>
      <x:c r="J6" s="38" t="str">
        <x:v>2</x:v>
      </x:c>
      <x:c r="K6"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L6" s="38" t="str">
        <x:v>https://www.youtube.com/watch?v=nykOeWgQcHM&amp;t=261s</x:v>
      </x:c>
      <x:c r="M6" s="38" t="str"/>
      <x:c r="N6" s="38" t="str">
        <x:v>The evidence supports the requested answer and covers the entire question.</x:v>
      </x:c>
      <x:c r="O6" s="38" t="str"/>
      <x:c r="P6" s="38" t="str"/>
      <x:c r="Q6" s="38" t="str"/>
      <x:c r="R6" s="38" t="str">
        <x:v>pending</x:v>
      </x:c>
    </x:row>
    <x:row r="7" ht="74" customHeight="1">
      <x:c r="A7" s="38" t="str">
        <x:v>mit60001-q-002|nykOeWgQcHM:semantic_cosine_wp240_v1:7</x:v>
      </x:c>
      <x:c r="B7" s="38" t="str">
        <x:v>mit60001-q-002</x:v>
      </x:c>
      <x:c r="C7" s="38" t="str">
        <x:v>evaluated_37</x:v>
      </x:c>
      <x:c r="D7" s="38" t="str">
        <x:v>What does the course say students should do to practice programming effectively?</x:v>
      </x:c>
      <x:c r="E7" s="38" t="str">
        <x:v>- Read problem sets early to become familiar with terminology.
- Practice programming directly rather than only watching someone else code.
- Download the code before lecture.</x:v>
      </x:c>
      <x:c r="F7" s="38" t="str">
        <x:v>candidate_v2_e2
current_control_e1</x:v>
      </x:c>
      <x:c r="G7" s="38" t="str">
        <x:v>True</x:v>
      </x:c>
      <x:c r="H7" s="38" t="str">
        <x:v>True</x:v>
      </x:c>
      <x:c r="I7" s="38" t="str">
        <x:v>nykOeWgQcHM:semantic_cosine_wp240_v1:7</x:v>
      </x:c>
      <x:c r="J7" s="38" t="str">
        <x:v>1</x:v>
      </x:c>
      <x:c r="K7" s="38"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L7" s="38" t="str">
        <x:v>https://www.youtube.com/watch?v=nykOeWgQcHM&amp;t=306s</x:v>
      </x:c>
      <x:c r="M7" s="38" t="str">
        <x:v>The candidate excerpt directly supports the answer 'To practice programming effectively, you need to write code that's well organized, modular, easy to understand, and readable by others.' with chunk_id 'nykOeWgQcHM:semantic_cosine_wp240_v1:7'.</x:v>
      </x:c>
      <x:c r="N7" s="38" t="str">
        <x:v>The evidence supports the requested answer and covers the entire question.</x:v>
      </x:c>
      <x:c r="O7" s="38" t="str">
        <x:v>baseline_m3_canonical</x:v>
      </x:c>
      <x:c r="P7" s="38" t="str">
        <x:v>does_not_support</x:v>
      </x:c>
      <x:c r="Q7" s="38" t="str">
        <x:v>Discusses readable/modular code and program control flow, not the expected practice advice (read problem sets early, program directly, download code).</x:v>
      </x:c>
      <x:c r="R7" s="38" t="str">
        <x:v>canonical_reuse</x:v>
      </x:c>
    </x:row>
    <x:row r="8" ht="74" customHeight="1">
      <x:c r="A8" s="38" t="str">
        <x:v>mit60001-q-003|MjbuarJ7SE0:semantic_cosine_wp240_v1:21</x:v>
      </x:c>
      <x:c r="B8" s="38" t="str">
        <x:v>mit60001-q-003</x:v>
      </x:c>
      <x:c r="C8" s="38" t="str">
        <x:v>evaluated_37</x:v>
      </x:c>
      <x:c r="D8" s="38" t="str">
        <x:v>How does Python use variable names in different scopes?</x:v>
      </x:c>
      <x:c r="E8" s="38" t="str">
        <x:v>- The same variable name can exist in the global scope and in a different scope.
- Python uses the variable names of the current scope, so same-named variables in different scopes do not interfere with one another.</x:v>
      </x:c>
      <x:c r="F8" s="38" t="str">
        <x:v>candidate_v2_e2
current_control_e1</x:v>
      </x:c>
      <x:c r="G8" s="38" t="str">
        <x:v>True</x:v>
      </x:c>
      <x:c r="H8" s="38" t="str">
        <x:v>True</x:v>
      </x:c>
      <x:c r="I8" s="38" t="str">
        <x:v>MjbuarJ7SE0:semantic_cosine_wp240_v1:21</x:v>
      </x:c>
      <x:c r="J8" s="38" t="str">
        <x:v>2</x:v>
      </x:c>
      <x:c r="K8" s="38"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L8" s="38" t="str">
        <x:v>https://www.youtube.com/watch?v=MjbuarJ7SE0&amp;t=913s</x:v>
      </x:c>
      <x:c r="M8" s="38" t="str">
        <x:v>The candidate excerpt directly supports the answer that Python uses variable names in different scopes, and the scope of a function is a completely separate environment than the environment of the main program.</x:v>
      </x:c>
      <x:c r="N8" s="38" t="str">
        <x:v>The evidence supports the requested answer and covers the entire question.</x:v>
      </x:c>
      <x:c r="O8" s="38" t="str">
        <x:v>baseline_m3_canonical</x:v>
      </x:c>
      <x:c r="P8" s="38" t="str">
        <x:v>supports</x:v>
      </x:c>
      <x:c r="Q8" s="38" t="str">
        <x:v>Explains that a function scope is a separate environment from the main program, supporting separation of same-named variables across scopes.</x:v>
      </x:c>
      <x:c r="R8" s="38" t="str">
        <x:v>canonical_reuse</x:v>
      </x:c>
    </x:row>
    <x:row r="9" ht="74" customHeight="1">
      <x:c r="A9" s="38" t="str">
        <x:v>mit60001-q-003|MjbuarJ7SE0:semantic_cosine_wp240_v1:42</x:v>
      </x:c>
      <x:c r="B9" s="38" t="str">
        <x:v>mit60001-q-003</x:v>
      </x:c>
      <x:c r="C9" s="38" t="str">
        <x:v>evaluated_37</x:v>
      </x:c>
      <x:c r="D9" s="38" t="str">
        <x:v>How does Python use variable names in different scopes?</x:v>
      </x:c>
      <x:c r="E9" s="38" t="str">
        <x:v>- The same variable name can exist in the global scope and in a different scope.
- Python uses the variable names of the current scope, so same-named variables in different scopes do not interfere with one another.</x:v>
      </x:c>
      <x:c r="F9" s="38" t="str">
        <x:v>candidate_v2_e2
current_control_e1</x:v>
      </x:c>
      <x:c r="G9" s="38" t="str">
        <x:v>True</x:v>
      </x:c>
      <x:c r="H9" s="38" t="str">
        <x:v>True</x:v>
      </x:c>
      <x:c r="I9" s="38" t="str">
        <x:v>MjbuarJ7SE0:semantic_cosine_wp240_v1:42</x:v>
      </x:c>
      <x:c r="J9" s="38" t="str">
        <x:v>3</x:v>
      </x:c>
      <x:c r="K9" s="38"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L9" s="38" t="str">
        <x:v>https://www.youtube.com/watch?v=MjbuarJ7SE0&amp;t=1885s</x:v>
      </x:c>
      <x:c r="M9" s="38" t="str">
        <x:v>The candidate excerpt directly supports the answer that Python uses variable names in different scopes, and the scope of a function is a completely separate environment than the environment of the main program.</x:v>
      </x:c>
      <x:c r="N9" s="38" t="str">
        <x:v>The evidence supports the requested answer and covers the entire question.</x:v>
      </x:c>
      <x:c r="O9" s="38" t="str">
        <x:v>baseline_m3_canonical</x:v>
      </x:c>
      <x:c r="P9" s="38" t="str">
        <x:v>supports</x:v>
      </x:c>
      <x:c r="Q9" s="38" t="str">
        <x:v>Directly states that same-named variables in different scopes do not interfere with each other.</x:v>
      </x:c>
      <x:c r="R9" s="38" t="str">
        <x:v>canonical_reuse</x:v>
      </x:c>
    </x:row>
    <x:row r="10" ht="74" customHeight="1">
      <x:c r="A10" s="38" t="str">
        <x:v>mit60001-q-004|0jljZRnHwOI:semantic_cosine_wp240_v1:31</x:v>
      </x:c>
      <x:c r="B10" s="38" t="str">
        <x:v>mit60001-q-004</x:v>
      </x:c>
      <x:c r="C10" s="38" t="str">
        <x:v>evaluated_37</x:v>
      </x:c>
      <x:c r="D10" s="38" t="str">
        <x:v>What is the difference between assignment (=) and equality (==) in Python?</x:v>
      </x:c>
      <x:c r="E10" s="38" t="str">
        <x:v>- The single equals sign assigns a value to a variable.
- The double equals sign tests whether two values are equal and produces a Boolean result.</x:v>
      </x:c>
      <x:c r="F10" s="38" t="str">
        <x:v>candidate_v2_e2</x:v>
      </x:c>
      <x:c r="G10" s="38" t="str">
        <x:v>False</x:v>
      </x:c>
      <x:c r="H10" s="38" t="str">
        <x:v>True</x:v>
      </x:c>
      <x:c r="I10" s="38" t="str">
        <x:v>0jljZRnHwOI:semantic_cosine_wp240_v1:31</x:v>
      </x:c>
      <x:c r="J10" s="38" t="str">
        <x:v>2</x:v>
      </x:c>
      <x:c r="K10" s="38" t="str">
        <x:v>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x:v>
      </x:c>
      <x:c r="L10" s="38" t="str">
        <x:v>https://www.youtube.com/watch?v=0jljZRnHwOI&amp;t=1455s</x:v>
      </x:c>
      <x:c r="M10" s="38" t="str"/>
      <x:c r="N10" s="38" t="str">
        <x:v>The evidence supports both sides of the question and the requested contrast.</x:v>
      </x:c>
      <x:c r="O10" s="38" t="str"/>
      <x:c r="P10" s="38" t="str"/>
      <x:c r="Q10" s="38" t="str"/>
      <x:c r="R10" s="38" t="str">
        <x:v>pending</x:v>
      </x:c>
    </x:row>
    <x:row r="11" ht="74" customHeight="1">
      <x:c r="A11" s="38" t="str">
        <x:v>mit60001-q-004|0jljZRnHwOI:semantic_cosine_wp240_v1:32</x:v>
      </x:c>
      <x:c r="B11" s="38" t="str">
        <x:v>mit60001-q-004</x:v>
      </x:c>
      <x:c r="C11" s="38" t="str">
        <x:v>evaluated_37</x:v>
      </x:c>
      <x:c r="D11" s="38" t="str">
        <x:v>What is the difference between assignment (=) and equality (==) in Python?</x:v>
      </x:c>
      <x:c r="E11" s="38" t="str">
        <x:v>- The single equals sign assigns a value to a variable.
- The double equals sign tests whether two values are equal and produces a Boolean result.</x:v>
      </x:c>
      <x:c r="F11" s="38" t="str">
        <x:v>candidate_v2_e2</x:v>
      </x:c>
      <x:c r="G11" s="38" t="str">
        <x:v>False</x:v>
      </x:c>
      <x:c r="H11" s="38" t="str">
        <x:v>True</x:v>
      </x:c>
      <x:c r="I11" s="38" t="str">
        <x:v>0jljZRnHwOI:semantic_cosine_wp240_v1:32</x:v>
      </x:c>
      <x:c r="J11" s="38" t="str">
        <x:v>3</x:v>
      </x:c>
      <x:c r="K11" s="38"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L11" s="38" t="str">
        <x:v>https://www.youtube.com/watch?v=0jljZRnHwOI&amp;t=1513s</x:v>
      </x:c>
      <x:c r="M11" s="38" t="str"/>
      <x:c r="N11" s="38" t="str">
        <x:v>The evidence supports both sides of the question and the requested contrast.</x:v>
      </x:c>
      <x:c r="O11" s="38" t="str"/>
      <x:c r="P11" s="38" t="str"/>
      <x:c r="Q11" s="38" t="str"/>
      <x:c r="R11" s="38" t="str">
        <x:v>pending</x:v>
      </x:c>
    </x:row>
    <x:row r="12" ht="74" customHeight="1">
      <x:c r="A12" s="38" t="str">
        <x:v>mit60001-q-004|nykOeWgQcHM:semantic_cosine_wp240_v1:53</x:v>
      </x:c>
      <x:c r="B12" s="38" t="str">
        <x:v>mit60001-q-004</x:v>
      </x:c>
      <x:c r="C12" s="38" t="str">
        <x:v>evaluated_37</x:v>
      </x:c>
      <x:c r="D12" s="38" t="str">
        <x:v>What is the difference between assignment (=) and equality (==) in Python?</x:v>
      </x:c>
      <x:c r="E12" s="38" t="str">
        <x:v>- The single equals sign assigns a value to a variable.
- The double equals sign tests whether two values are equal and produces a Boolean result.</x:v>
      </x:c>
      <x:c r="F12" s="38" t="str">
        <x:v>current_control_e1</x:v>
      </x:c>
      <x:c r="G12" s="38" t="str">
        <x:v>True</x:v>
      </x:c>
      <x:c r="H12" s="38" t="str">
        <x:v>False</x:v>
      </x:c>
      <x:c r="I12" s="38" t="str">
        <x:v>nykOeWgQcHM:semantic_cosine_wp240_v1:53</x:v>
      </x:c>
      <x:c r="J12" s="38" t="str">
        <x:v>1</x:v>
      </x:c>
      <x:c r="K12" s="38"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c r="L12" s="38" t="str">
        <x:v>https://www.youtube.com/watch?v=nykOeWgQcHM&amp;t=2365s</x:v>
      </x:c>
      <x:c r="M12" s="38" t="str">
        <x:v>The candidate excerpt directly supports the answer that assignment (=) and equality (==) are used differently in Python, with assignment being on the left-hand side and equality on the right-hand side.</x:v>
      </x:c>
      <x:c r="N12" s="38" t="str"/>
      <x:c r="O12" s="38" t="str">
        <x:v>baseline_m3_canonical</x:v>
      </x:c>
      <x:c r="P12" s="38" t="str">
        <x:v>does_not_support</x:v>
      </x:c>
      <x:c r="Q12" s="38" t="str">
        <x:v>Explains single-equals assignment only; it does not provide the == equality/Boolean half required for the requested contrast.</x:v>
      </x:c>
      <x:c r="R12" s="38" t="str">
        <x:v>canonical_reuse</x:v>
      </x:c>
    </x:row>
    <x:row r="13" ht="74" customHeight="1">
      <x:c r="A13" s="38" t="str">
        <x:v>mit60001-q-005|WPSeyjX1-4s:semantic_cosine_wp240_v1:15</x:v>
      </x:c>
      <x:c r="B13" s="38" t="str">
        <x:v>mit60001-q-005</x:v>
      </x:c>
      <x:c r="C13" s="38" t="str">
        <x:v>evaluated_37</x:v>
      </x:c>
      <x:c r="D13" s="38" t="str">
        <x:v>According to the course, why does a recursive function require a base case?</x:v>
      </x:c>
      <x:c r="E13" s="38" t="str">
        <x:v>- A base case gives recursion a directly solvable case and stops the unwinding of recursive calls.
- Having one or more easy base cases prevents infinite recursion.</x:v>
      </x:c>
      <x:c r="F13" s="38" t="str">
        <x:v>candidate_v2_e2
current_control_e1</x:v>
      </x:c>
      <x:c r="G13" s="38" t="str">
        <x:v>True</x:v>
      </x:c>
      <x:c r="H13" s="38" t="str">
        <x:v>True</x:v>
      </x:c>
      <x:c r="I13" s="38" t="str">
        <x:v>WPSeyjX1-4s:semantic_cosine_wp240_v1:15</x:v>
      </x:c>
      <x:c r="J13" s="38" t="str">
        <x:v>3</x:v>
      </x:c>
      <x:c r="K13" s="38"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c r="L13" s="38" t="str">
        <x:v>https://www.youtube.com/watch?v=WPSeyjX1-4s&amp;t=558s</x:v>
      </x:c>
      <x:c r="M13" s="38" t="str">
        <x:v>The candidate excerpt directly supports the answer that a recursive function requires a base case to avoid infinite recursion.</x:v>
      </x:c>
      <x:c r="N13" s="38" t="str">
        <x:v>The whole question is covered.</x:v>
      </x:c>
      <x:c r="O13" s="38" t="str">
        <x:v>baseline_m3_canonical</x:v>
      </x:c>
      <x:c r="P13" s="38" t="str">
        <x:v>supports</x:v>
      </x:c>
      <x:c r="Q13" s="38" t="str">
        <x:v>Provides a concrete directly solvable factorial base case (n=1), supporting the base-case concept.</x:v>
      </x:c>
      <x:c r="R13" s="38" t="str">
        <x:v>canonical_reuse</x:v>
      </x:c>
    </x:row>
    <x:row r="14" ht="74" customHeight="1">
      <x:c r="A14" s="38" t="str">
        <x:v>mit60001-q-005|WPSeyjX1-4s:semantic_cosine_wp240_v1:8</x:v>
      </x:c>
      <x:c r="B14" s="38" t="str">
        <x:v>mit60001-q-005</x:v>
      </x:c>
      <x:c r="C14" s="38" t="str">
        <x:v>evaluated_37</x:v>
      </x:c>
      <x:c r="D14" s="38" t="str">
        <x:v>According to the course, why does a recursive function require a base case?</x:v>
      </x:c>
      <x:c r="E14" s="38" t="str">
        <x:v>- A base case gives recursion a directly solvable case and stops the unwinding of recursive calls.
- Having one or more easy base cases prevents infinite recursion.</x:v>
      </x:c>
      <x:c r="F14" s="38" t="str">
        <x:v>candidate_v2_e2
current_control_e1</x:v>
      </x:c>
      <x:c r="G14" s="38" t="str">
        <x:v>True</x:v>
      </x:c>
      <x:c r="H14" s="38" t="str">
        <x:v>True</x:v>
      </x:c>
      <x:c r="I14" s="38" t="str">
        <x:v>WPSeyjX1-4s:semantic_cosine_wp240_v1:8</x:v>
      </x:c>
      <x:c r="J14" s="38" t="str">
        <x:v>2</x:v>
      </x:c>
      <x:c r="K14" s="38" t="str">
        <x:v>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x:v>
      </x:c>
      <x:c r="L14" s="38" t="str">
        <x:v>https://www.youtube.com/watch?v=WPSeyjX1-4s&amp;t=308s</x:v>
      </x:c>
      <x:c r="M14" s="38" t="str">
        <x:v>The candidate excerpt directly supports the answer that a recursive function requires a base case to avoid infinite recursion.</x:v>
      </x:c>
      <x:c r="N14" s="38" t="str">
        <x:v>The whole question is covered.</x:v>
      </x:c>
      <x:c r="O14" s="38" t="str">
        <x:v>baseline_m3_canonical</x:v>
      </x:c>
      <x:c r="P14" s="38" t="str">
        <x:v>supports</x:v>
      </x:c>
      <x:c r="Q14" s="38" t="str">
        <x:v>Directly states that easy base cases avoid infinite recursion and are directly solvable.</x:v>
      </x:c>
      <x:c r="R14" s="38" t="str">
        <x:v>canonical_reuse</x:v>
      </x:c>
    </x:row>
    <x:row r="15" ht="74" customHeight="1">
      <x:c r="A15" s="38" t="str">
        <x:v>mit60001-q-006|o9nW0uBqvEo:semantic_cosine_wp240_v1:13</x:v>
      </x:c>
      <x:c r="B15" s="38" t="str">
        <x:v>mit60001-q-006</x:v>
      </x:c>
      <x:c r="C15" s="38" t="str">
        <x:v>evaluated_37</x:v>
      </x:c>
      <x:c r="D15" s="38" t="str">
        <x:v>According to the lecture, how is the efficiency of an algorithm explained?</x:v>
      </x:c>
      <x:c r="E15" s="38" t="str">
        <x:v>- Estimate efficiency by running test cases, timing execution, and observing the result.
- Alternatively count fundamental operations as a function of input size.</x:v>
      </x:c>
      <x:c r="F15" s="38" t="str">
        <x:v>candidate_v2_e2</x:v>
      </x:c>
      <x:c r="G15" s="38" t="str">
        <x:v>False</x:v>
      </x:c>
      <x:c r="H15" s="38" t="str">
        <x:v>True</x:v>
      </x:c>
      <x:c r="I15" s="38" t="str">
        <x:v>o9nW0uBqvEo:semantic_cosine_wp240_v1:13</x:v>
      </x:c>
      <x:c r="J15" s="38" t="str">
        <x:v>2</x:v>
      </x:c>
      <x:c r="K15" s="38"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c r="L15" s="38" t="str">
        <x:v>https://www.youtube.com/watch?v=o9nW0uBqvEo&amp;t=509s</x:v>
      </x:c>
      <x:c r="M15" s="38" t="str"/>
      <x:c r="N15" s="38" t="str">
        <x:v>The evidence supports the explanation of efficiency in an algorithm, specifically that it can be measured by counting operations and comparing different implementations.</x:v>
      </x:c>
      <x:c r="O15" s="38" t="str"/>
      <x:c r="P15" s="38" t="str"/>
      <x:c r="Q15" s="38" t="str"/>
      <x:c r="R15" s="38" t="str">
        <x:v>pending</x:v>
      </x:c>
    </x:row>
    <x:row r="16" ht="74" customHeight="1">
      <x:c r="A16" s="38" t="str">
        <x:v>mit60001-q-006|o9nW0uBqvEo:semantic_cosine_wp240_v1:14</x:v>
      </x:c>
      <x:c r="B16" s="38" t="str">
        <x:v>mit60001-q-006</x:v>
      </x:c>
      <x:c r="C16" s="38" t="str">
        <x:v>evaluated_37</x:v>
      </x:c>
      <x:c r="D16" s="38" t="str">
        <x:v>According to the lecture, how is the efficiency of an algorithm explained?</x:v>
      </x:c>
      <x:c r="E16" s="38" t="str">
        <x:v>- Estimate efficiency by running test cases, timing execution, and observing the result.
- Alternatively count fundamental operations as a function of input size.</x:v>
      </x:c>
      <x:c r="F16" s="38" t="str">
        <x:v>candidate_v2_e2
current_control_e1</x:v>
      </x:c>
      <x:c r="G16" s="38" t="str">
        <x:v>True</x:v>
      </x:c>
      <x:c r="H16" s="38" t="str">
        <x:v>True</x:v>
      </x:c>
      <x:c r="I16" s="38" t="str">
        <x:v>o9nW0uBqvEo:semantic_cosine_wp240_v1:14</x:v>
      </x:c>
      <x:c r="J16" s="38" t="str">
        <x:v>1</x:v>
      </x:c>
      <x:c r="K16" s="38" t="str">
        <x:v>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x:v>
      </x:c>
      <x:c r="L16" s="38" t="str">
        <x:v>https://www.youtube.com/watch?v=o9nW0uBqvEo&amp;t=560s</x:v>
      </x:c>
      <x:c r="M16" s="38" t="str">
        <x:v>The candidate excerpt directly supports the answer that the efficiency of an algorithm is explained by counting operations and saying how many of those operations do I use in my algorithm as a function of the size of the input.</x:v>
      </x:c>
      <x:c r="N16" s="38" t="str">
        <x:v>The evidence supports the explanation of efficiency in an algorithm, specifically that it can be measured by counting operations and comparing different implementations.</x:v>
      </x:c>
      <x:c r="O16" s="38" t="str">
        <x:v>baseline_m3_canonical</x:v>
      </x:c>
      <x:c r="P16" s="38" t="str">
        <x:v>supports</x:v>
      </x:c>
      <x:c r="Q16" s="38" t="str">
        <x:v>Directly describes counting fundamental operations as a function of input size to estimate efficiency.</x:v>
      </x:c>
      <x:c r="R16" s="38" t="str">
        <x:v>canonical_reuse</x:v>
      </x:c>
    </x:row>
    <x:row r="17" ht="74" customHeight="1">
      <x:c r="A17" s="38" t="str">
        <x:v>mit60001-q-007|WPSeyjX1-4s:semantic_cosine_wp240_v1:17</x:v>
      </x:c>
      <x:c r="B17" s="38" t="str">
        <x:v>mit60001-q-007</x:v>
      </x:c>
      <x:c r="C17" s="38" t="str">
        <x:v>evaluated_37</x:v>
      </x:c>
      <x:c r="D17" s="38" t="str">
        <x:v>What value is bound to a name after an assignment statement is evaluated?</x:v>
      </x:c>
      <x:c r="E17" s="38" t="str">
        <x:v>- Assignment binds the value on the right-hand side to the variable name on the left-hand side.
- The binding allows the program to access that value later.</x:v>
      </x:c>
      <x:c r="F17" s="38" t="str">
        <x:v>candidate_v2_e2</x:v>
      </x:c>
      <x:c r="G17" s="38" t="str">
        <x:v>False</x:v>
      </x:c>
      <x:c r="H17" s="38" t="str">
        <x:v>True</x:v>
      </x:c>
      <x:c r="I17" s="38" t="str">
        <x:v>WPSeyjX1-4s:semantic_cosine_wp240_v1:17</x:v>
      </x:c>
      <x:c r="J17" s="38" t="str">
        <x:v>2</x:v>
      </x:c>
      <x:c r="K17" s="38" t="str">
        <x:v>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x:v>
      </x:c>
      <x:c r="L17" s="38" t="str">
        <x:v>https://www.youtube.com/watch?v=WPSeyjX1-4s&amp;t=639s</x:v>
      </x:c>
      <x:c r="M17" s="38" t="str"/>
      <x:c r="N17" s="38" t="str">
        <x:v>The evidence supports the requested answer and covers the entire question.</x:v>
      </x:c>
      <x:c r="O17" s="38" t="str"/>
      <x:c r="P17" s="38" t="str"/>
      <x:c r="Q17" s="38" t="str"/>
      <x:c r="R17" s="38" t="str">
        <x:v>pending</x:v>
      </x:c>
    </x:row>
    <x:row r="18" ht="74" customHeight="1">
      <x:c r="A18" s="38" t="str">
        <x:v>mit60001-q-007|nykOeWgQcHM:semantic_cosine_wp240_v1:53</x:v>
      </x:c>
      <x:c r="B18" s="38" t="str">
        <x:v>mit60001-q-007</x:v>
      </x:c>
      <x:c r="C18" s="38" t="str">
        <x:v>evaluated_37</x:v>
      </x:c>
      <x:c r="D18" s="38" t="str">
        <x:v>What value is bound to a name after an assignment statement is evaluated?</x:v>
      </x:c>
      <x:c r="E18" s="38" t="str">
        <x:v>- Assignment binds the value on the right-hand side to the variable name on the left-hand side.
- The binding allows the program to access that value later.</x:v>
      </x:c>
      <x:c r="F18" s="38" t="str">
        <x:v>candidate_v2_e2
current_control_e1</x:v>
      </x:c>
      <x:c r="G18" s="38" t="str">
        <x:v>True</x:v>
      </x:c>
      <x:c r="H18" s="38" t="str">
        <x:v>True</x:v>
      </x:c>
      <x:c r="I18" s="38" t="str">
        <x:v>nykOeWgQcHM:semantic_cosine_wp240_v1:53</x:v>
      </x:c>
      <x:c r="J18" s="38" t="str">
        <x:v>1</x:v>
      </x:c>
      <x:c r="K18" s="38"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c r="L18" s="38" t="str">
        <x:v>https://www.youtube.com/watch?v=nykOeWgQcHM&amp;t=2365s</x:v>
      </x:c>
      <x:c r="M18" s="38" t="str">
        <x:v>The candidate excerpt directly supports the answer that the value bound to a name after an assignment statement is evaluated.</x:v>
      </x:c>
      <x:c r="N18" s="38" t="str">
        <x:v>The evidence supports the requested answer and covers the entire question.</x:v>
      </x:c>
      <x:c r="O18" s="38" t="str">
        <x:v>baseline_m3_canonical</x:v>
      </x:c>
      <x:c r="P18" s="38" t="str">
        <x:v>supports</x:v>
      </x:c>
      <x:c r="Q18" s="38" t="str">
        <x:v>States that the right-hand expression is evaluated to a value and the left-hand variable is assigned, which supports the assignment-binding semantics despite no GT time overlap.</x:v>
      </x:c>
      <x:c r="R18" s="38" t="str">
        <x:v>canonical_reuse</x:v>
      </x:c>
    </x:row>
    <x:row r="19" ht="74" customHeight="1">
      <x:c r="A19" s="38" t="str">
        <x:v>mit60001-q-007|nykOeWgQcHM:semantic_cosine_wp240_v1:54</x:v>
      </x:c>
      <x:c r="B19" s="38" t="str">
        <x:v>mit60001-q-007</x:v>
      </x:c>
      <x:c r="C19" s="38" t="str">
        <x:v>evaluated_37</x:v>
      </x:c>
      <x:c r="D19" s="38" t="str">
        <x:v>What value is bound to a name after an assignment statement is evaluated?</x:v>
      </x:c>
      <x:c r="E19" s="38" t="str">
        <x:v>- Assignment binds the value on the right-hand side to the variable name on the left-hand side.
- The binding allows the program to access that value later.</x:v>
      </x:c>
      <x:c r="F19" s="38" t="str">
        <x:v>candidate_v2_e2</x:v>
      </x:c>
      <x:c r="G19" s="38" t="str">
        <x:v>False</x:v>
      </x:c>
      <x:c r="H19" s="38" t="str">
        <x:v>True</x:v>
      </x:c>
      <x:c r="I19" s="38" t="str">
        <x:v>nykOeWgQcHM:semantic_cosine_wp240_v1:54</x:v>
      </x:c>
      <x:c r="J19" s="38" t="str">
        <x:v>3</x:v>
      </x:c>
      <x:c r="K19" s="38" t="str">
        <x:v>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x:v>
      </x:c>
      <x:c r="L19" s="38" t="str">
        <x:v>https://www.youtube.com/watch?v=nykOeWgQcHM&amp;t=2403s</x:v>
      </x:c>
      <x:c r="M19" s="38" t="str"/>
      <x:c r="N19" s="38" t="str">
        <x:v>The evidence supports the requested answer and covers the entire question.</x:v>
      </x:c>
      <x:c r="O19" s="38" t="str"/>
      <x:c r="P19" s="38" t="str"/>
      <x:c r="Q19" s="38" t="str"/>
      <x:c r="R19" s="38" t="str">
        <x:v>pending</x:v>
      </x:c>
    </x:row>
    <x:row r="20" ht="74" customHeight="1">
      <x:c r="A20" s="38" t="str">
        <x:v>mit60001-q-008|nykOeWgQcHM:semantic_cosine_wp240_v1:55</x:v>
      </x:c>
      <x:c r="B20" s="38" t="str">
        <x:v>mit60001-q-008</x:v>
      </x:c>
      <x:c r="C20" s="38" t="str">
        <x:v>evaluated_37</x:v>
      </x:c>
      <x:c r="D20" s="38" t="str">
        <x:v>Why can rebinding a variable name leave the previous object unchanged?</x:v>
      </x:c>
      <x:c r="E20" s="38" t="str">
        <x:v>- A variable name is a handle or binding used to access an object.
- Rebinding the name to a new value removes the old binding but does not change the previous object; the old object can remain in memory without that handle.</x:v>
      </x:c>
      <x:c r="F20" s="38" t="str">
        <x:v>candidate_v2_e2
current_control_e1</x:v>
      </x:c>
      <x:c r="G20" s="38" t="str">
        <x:v>True</x:v>
      </x:c>
      <x:c r="H20" s="38" t="str">
        <x:v>True</x:v>
      </x:c>
      <x:c r="I20" s="38" t="str">
        <x:v>nykOeWgQcHM:semantic_cosine_wp240_v1:55</x:v>
      </x:c>
      <x:c r="J20" s="38" t="str">
        <x:v>2</x:v>
      </x:c>
      <x:c r="K20" s="38"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c r="L20" s="38" t="str">
        <x:v>https://www.youtube.com/watch?v=nykOeWgQcHM&amp;t=2461s</x:v>
      </x:c>
      <x:c r="M20" s="38" t="str">
        <x:v>The candidate excerpt directly supports the answer that rebinding a variable name leaves the previous object unchanged. The excerpt states,</x:v>
      </x:c>
      <x:c r="N20" s="38" t="str">
        <x:v>The evidence supports the reason why rebinding a variable name leaves the previous object unchanged.</x:v>
      </x:c>
      <x:c r="O20" s="38" t="str">
        <x:v>baseline_m3_canonical</x:v>
      </x:c>
      <x:c r="P20" s="38" t="str">
        <x:v>supports</x:v>
      </x:c>
      <x:c r="Q20" s="38" t="str">
        <x:v>Directly explains rebinding, loss of the old handle, and persistence of the previous value in memory.</x:v>
      </x:c>
      <x:c r="R20" s="38" t="str">
        <x:v>canonical_reuse</x:v>
      </x:c>
    </x:row>
    <x:row r="21" ht="74" customHeight="1">
      <x:c r="A21" s="38" t="str">
        <x:v>mit60001-q-009|MjbuarJ7SE0:semantic_cosine_wp240_v1:22</x:v>
      </x:c>
      <x:c r="B21" s="38" t="str">
        <x:v>mit60001-q-009</x:v>
      </x:c>
      <x:c r="C21" s="38" t="str">
        <x:v>evaluated_37</x:v>
      </x:c>
      <x:c r="D21" s="38" t="str">
        <x:v>According to the course, how are local variables created and used during a function call?</x:v>
      </x:c>
      <x:c r="E21" s="38" t="str">
        <x:v>- The same variable name can exist in the global scope and in a different scope.
- Within a scope, Python uses that scope's variable names, so names in different scopes do not interfere with one another.</x:v>
      </x:c>
      <x:c r="F21" s="38" t="str">
        <x:v>candidate_v2_e2</x:v>
      </x:c>
      <x:c r="G21" s="38" t="str">
        <x:v>False</x:v>
      </x:c>
      <x:c r="H21" s="38" t="str">
        <x:v>True</x:v>
      </x:c>
      <x:c r="I21" s="38" t="str">
        <x:v>MjbuarJ7SE0:semantic_cosine_wp240_v1:22</x:v>
      </x:c>
      <x:c r="J21" s="38" t="str">
        <x:v>3</x:v>
      </x:c>
      <x:c r="K21" s="38" t="str">
        <x:v>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L21" s="38" t="str">
        <x:v>https://www.youtube.com/watch?v=MjbuarJ7SE0&amp;t=976s</x:v>
      </x:c>
      <x:c r="M21" s="38" t="str"/>
      <x:c r="N21" s="38" t="str">
        <x:v>The evidence supports the creation and usage of local variables during a function call, including the concept of scopes, global variables, and passing values back and forth between scopes.</x:v>
      </x:c>
      <x:c r="O21" s="38" t="str"/>
      <x:c r="P21" s="38" t="str"/>
      <x:c r="Q21" s="38" t="str"/>
      <x:c r="R21" s="38" t="str">
        <x:v>pending</x:v>
      </x:c>
    </x:row>
    <x:row r="22" ht="74" customHeight="1">
      <x:c r="A22" s="38" t="str">
        <x:v>mit60001-q-009|MjbuarJ7SE0:semantic_cosine_wp240_v1:41</x:v>
      </x:c>
      <x:c r="B22" s="38" t="str">
        <x:v>mit60001-q-009</x:v>
      </x:c>
      <x:c r="C22" s="38" t="str">
        <x:v>evaluated_37</x:v>
      </x:c>
      <x:c r="D22" s="38" t="str">
        <x:v>According to the course, how are local variables created and used during a function call?</x:v>
      </x:c>
      <x:c r="E22" s="38" t="str">
        <x:v>- The same variable name can exist in the global scope and in a different scope.
- Within a scope, Python uses that scope's variable names, so names in different scopes do not interfere with one another.</x:v>
      </x:c>
      <x:c r="F22" s="38" t="str">
        <x:v>candidate_v2_e2</x:v>
      </x:c>
      <x:c r="G22" s="38" t="str">
        <x:v>False</x:v>
      </x:c>
      <x:c r="H22" s="38" t="str">
        <x:v>True</x:v>
      </x:c>
      <x:c r="I22" s="38" t="str">
        <x:v>MjbuarJ7SE0:semantic_cosine_wp240_v1:41</x:v>
      </x:c>
      <x:c r="J22" s="38" t="str">
        <x:v>1</x:v>
      </x:c>
      <x:c r="K22" s="38"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c r="L22" s="38" t="str">
        <x:v>https://www.youtube.com/watch?v=MjbuarJ7SE0&amp;t=1837s</x:v>
      </x:c>
      <x:c r="M22" s="38" t="str"/>
      <x:c r="N22" s="38" t="str">
        <x:v>The evidence supports the creation and usage of local variables during a function call, including the concept of scopes, global variables, and passing values back and forth between scopes.</x:v>
      </x:c>
      <x:c r="O22" s="38" t="str"/>
      <x:c r="P22" s="38" t="str"/>
      <x:c r="Q22" s="38" t="str"/>
      <x:c r="R22" s="38" t="str">
        <x:v>pending</x:v>
      </x:c>
    </x:row>
    <x:row r="23" ht="74" customHeight="1">
      <x:c r="A23" s="38" t="str">
        <x:v>mit60001-q-009|MjbuarJ7SE0:semantic_cosine_wp240_v1:45</x:v>
      </x:c>
      <x:c r="B23" s="38" t="str">
        <x:v>mit60001-q-009</x:v>
      </x:c>
      <x:c r="C23" s="38" t="str">
        <x:v>evaluated_37</x:v>
      </x:c>
      <x:c r="D23" s="38" t="str">
        <x:v>According to the course, how are local variables created and used during a function call?</x:v>
      </x:c>
      <x:c r="E23" s="38" t="str">
        <x:v>- The same variable name can exist in the global scope and in a different scope.
- Within a scope, Python uses that scope's variable names, so names in different scopes do not interfere with one another.</x:v>
      </x:c>
      <x:c r="F23" s="38" t="str">
        <x:v>candidate_v2_e2</x:v>
      </x:c>
      <x:c r="G23" s="38" t="str">
        <x:v>False</x:v>
      </x:c>
      <x:c r="H23" s="38" t="str">
        <x:v>True</x:v>
      </x:c>
      <x:c r="I23" s="38" t="str">
        <x:v>MjbuarJ7SE0:semantic_cosine_wp240_v1:45</x:v>
      </x:c>
      <x:c r="J23" s="38" t="str">
        <x:v>2</x:v>
      </x:c>
      <x:c r="K23" s="38" t="str">
        <x:v>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x:v>
      </x:c>
      <x:c r="L23" s="38" t="str">
        <x:v>https://www.youtube.com/watch?v=MjbuarJ7SE0&amp;t=2004s</x:v>
      </x:c>
      <x:c r="M23" s="38" t="str"/>
      <x:c r="N23" s="38" t="str">
        <x:v>The evidence supports the creation and usage of local variables during a function call, including the concept of scopes, global variables, and passing values back and forth between scopes.</x:v>
      </x:c>
      <x:c r="O23" s="38" t="str"/>
      <x:c r="P23" s="38" t="str"/>
      <x:c r="Q23" s="38" t="str"/>
      <x:c r="R23" s="38" t="str">
        <x:v>pending</x:v>
      </x:c>
    </x:row>
    <x:row r="24" ht="74" customHeight="1">
      <x:c r="A24" s="38" t="str">
        <x:v>mit60001-q-010|RvRKT-jXvko:semantic_cosine_wp240_v1:2</x:v>
      </x:c>
      <x:c r="B24" s="38" t="str">
        <x:v>mit60001-q-010</x:v>
      </x:c>
      <x:c r="C24" s="38" t="str">
        <x:v>evaluated_37</x:v>
      </x:c>
      <x:c r="D24" s="38" t="str">
        <x:v>What is the difference between mutable and immutable objects?</x:v>
      </x:c>
      <x:c r="E24" s="38" t="str">
        <x:v>- Tuples are immutable, whereas lists are mutable.
- Lists and tuples can contain elements of any type, but lists use square brackets and tuples use parentheses.</x:v>
      </x:c>
      <x:c r="F24" s="38" t="str">
        <x:v>candidate_v2_e2</x:v>
      </x:c>
      <x:c r="G24" s="38" t="str">
        <x:v>False</x:v>
      </x:c>
      <x:c r="H24" s="38" t="str">
        <x:v>True</x:v>
      </x:c>
      <x:c r="I24" s="38" t="str">
        <x:v>RvRKT-jXvko:semantic_cosine_wp240_v1:2</x:v>
      </x:c>
      <x:c r="J24" s="38" t="str">
        <x:v>1</x:v>
      </x:c>
      <x:c r="K24" s="38" t="str">
        <x:v>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x:v>
      </x:c>
      <x:c r="L24" s="38" t="str">
        <x:v>https://www.youtube.com/watch?v=RvRKT-jXvko&amp;t=98s</x:v>
      </x:c>
      <x:c r="M24" s="38" t="str"/>
      <x:c r="N24" s="38" t="str">
        <x:v>The evidence supports both sides of the question and the requested contrast.</x:v>
      </x:c>
      <x:c r="O24" s="38" t="str"/>
      <x:c r="P24" s="38" t="str"/>
      <x:c r="Q24" s="38" t="str"/>
      <x:c r="R24" s="38" t="str">
        <x:v>pending</x:v>
      </x:c>
    </x:row>
    <x:row r="25" ht="74" customHeight="1">
      <x:c r="A25" s="38" t="str">
        <x:v>mit60001-q-010|RvRKT-jXvko:semantic_cosine_wp240_v1:43</x:v>
      </x:c>
      <x:c r="B25" s="38" t="str">
        <x:v>mit60001-q-010</x:v>
      </x:c>
      <x:c r="C25" s="38" t="str">
        <x:v>evaluated_37</x:v>
      </x:c>
      <x:c r="D25" s="38" t="str">
        <x:v>What is the difference between mutable and immutable objects?</x:v>
      </x:c>
      <x:c r="E25" s="38" t="str">
        <x:v>- Tuples are immutable, whereas lists are mutable.
- Lists and tuples can contain elements of any type, but lists use square brackets and tuples use parentheses.</x:v>
      </x:c>
      <x:c r="F25" s="38" t="str">
        <x:v>candidate_v2_e2
current_control_e1</x:v>
      </x:c>
      <x:c r="G25" s="38" t="str">
        <x:v>True</x:v>
      </x:c>
      <x:c r="H25" s="38" t="str">
        <x:v>True</x:v>
      </x:c>
      <x:c r="I25" s="38" t="str">
        <x:v>RvRKT-jXvko:semantic_cosine_wp240_v1:43</x:v>
      </x:c>
      <x:c r="J25" s="38" t="str">
        <x:v>3</x:v>
      </x:c>
      <x:c r="K25" s="38" t="str">
        <x:v>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x:v>
      </x:c>
      <x:c r="L25" s="38" t="str">
        <x:v>https://www.youtube.com/watch?v=RvRKT-jXvko&amp;t=1818s</x:v>
      </x:c>
      <x:c r="M25" s="38" t="str">
        <x:v>The candidate excerpt directly supports the answer that lists are mutable, as stated in the chunk_id 'RvRKT-jXvko:semantic_cosine_wp240_v1:43' and 'RvRKT-jXvko:semantic_cosine_wp240_v1:43'.</x:v>
      </x:c>
      <x:c r="N25" s="38" t="str">
        <x:v>The evidence supports both sides of the question and the requested contrast.</x:v>
      </x:c>
      <x:c r="O25" s="38" t="str">
        <x:v>baseline_m3_canonical</x:v>
      </x:c>
      <x:c r="P25" s="38" t="str">
        <x:v>does_not_support</x:v>
      </x:c>
      <x:c r="Q25" s="38" t="str">
        <x:v>Establishes that lists are mutable but does not contrast tuples as immutable or give the tuple/list syntax differences required by the expected answer.</x:v>
      </x:c>
      <x:c r="R25" s="38" t="str">
        <x:v>canonical_reuse</x:v>
      </x:c>
    </x:row>
    <x:row r="26" ht="74" customHeight="1">
      <x:c r="A26" s="38" t="str">
        <x:v>mit60001-q-010|RvRKT-jXvko:semantic_cosine_wp240_v1:48</x:v>
      </x:c>
      <x:c r="B26" s="38" t="str">
        <x:v>mit60001-q-010</x:v>
      </x:c>
      <x:c r="C26" s="38" t="str">
        <x:v>evaluated_37</x:v>
      </x:c>
      <x:c r="D26" s="38" t="str">
        <x:v>What is the difference between mutable and immutable objects?</x:v>
      </x:c>
      <x:c r="E26" s="38" t="str">
        <x:v>- Tuples are immutable, whereas lists are mutable.
- Lists and tuples can contain elements of any type, but lists use square brackets and tuples use parentheses.</x:v>
      </x:c>
      <x:c r="F26" s="38" t="str">
        <x:v>candidate_v2_e2</x:v>
      </x:c>
      <x:c r="G26" s="38" t="str">
        <x:v>False</x:v>
      </x:c>
      <x:c r="H26" s="38" t="str">
        <x:v>True</x:v>
      </x:c>
      <x:c r="I26" s="38" t="str">
        <x:v>RvRKT-jXvko:semantic_cosine_wp240_v1:48</x:v>
      </x:c>
      <x:c r="J26" s="38" t="str">
        <x:v>2</x:v>
      </x:c>
      <x:c r="K26" s="38" t="str">
        <x:v>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x:v>
      </x:c>
      <x:c r="L26" s="38" t="str">
        <x:v>https://www.youtube.com/watch?v=RvRKT-jXvko&amp;t=2033s</x:v>
      </x:c>
      <x:c r="M26" s="38" t="str"/>
      <x:c r="N26" s="38" t="str">
        <x:v>The evidence supports both sides of the question and the requested contrast.</x:v>
      </x:c>
      <x:c r="O26" s="38" t="str"/>
      <x:c r="P26" s="38" t="str"/>
      <x:c r="Q26" s="38" t="str"/>
      <x:c r="R26" s="38" t="str">
        <x:v>pending</x:v>
      </x:c>
    </x:row>
    <x:row r="27" ht="74" customHeight="1">
      <x:c r="A27" s="38" t="str">
        <x:v>mit60001-q-014|RvRKT-jXvko:semantic_cosine_wp240_v1:24</x:v>
      </x:c>
      <x:c r="B27" s="38" t="str">
        <x:v>mit60001-q-014</x:v>
      </x:c>
      <x:c r="C27" s="38" t="str">
        <x:v>evaluated_37</x:v>
      </x:c>
      <x:c r="D27" s="38" t="str">
        <x:v>What is the difference between a Python list and a dictionary?</x:v>
      </x:c>
      <x:c r="E27" s="38" t="str">
        <x:v>- A list is an ordered sequence accessed by integer index.
- A dictionary maps keys to values and is accessed by the appropriate key.
- Dictionary keys must be immutable.</x:v>
      </x:c>
      <x:c r="F27" s="38" t="str">
        <x:v>current_control_e1</x:v>
      </x:c>
      <x:c r="G27" s="38" t="str">
        <x:v>True</x:v>
      </x:c>
      <x:c r="H27" s="38" t="str">
        <x:v>False</x:v>
      </x:c>
      <x:c r="I27" s="38" t="str">
        <x:v>RvRKT-jXvko:semantic_cosine_wp240_v1:24</x:v>
      </x:c>
      <x:c r="J27" s="38" t="str">
        <x:v>3</x:v>
      </x:c>
      <x:c r="K27" s="38"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c r="L27" s="38" t="str">
        <x:v>https://www.youtube.com/watch?v=RvRKT-jXvko&amp;t=1009s</x:v>
      </x:c>
      <x:c r="M27" s="38" t="str">
        <x:v>The candidate excerpt directly supports the answer that lists are mutable objects.</x:v>
      </x:c>
      <x:c r="N27" s="38" t="str"/>
      <x:c r="O27" s="38" t="str">
        <x:v>baseline_m3_canonical</x:v>
      </x:c>
      <x:c r="P27" s="38" t="str">
        <x:v>does_not_support</x:v>
      </x:c>
      <x:c r="Q27" s="38" t="str">
        <x:v>Shows list indexing and list mutability only; it does not provide the dictionary key-value side of the requested distinction.</x:v>
      </x:c>
      <x:c r="R27" s="38" t="str">
        <x:v>canonical_reuse</x:v>
      </x:c>
    </x:row>
    <x:row r="28" ht="74" customHeight="1">
      <x:c r="A28" s="38" t="str">
        <x:v>mit60001-q-015|nykOeWgQcHM:semantic_cosine_wp240_v1:39</x:v>
      </x:c>
      <x:c r="B28" s="38" t="str">
        <x:v>mit60001-q-015</x:v>
      </x:c>
      <x:c r="C28" s="38" t="str">
        <x:v>evaluated_37</x:v>
      </x:c>
      <x:c r="D28" s="38" t="str">
        <x:v>According to the course, how is using the shell different from using the editor?</x:v>
      </x:c>
      <x:c r="E28" s="38" t="str">
        <x:v>- The shell lets a user type and execute simple commands directly, typically to test something quickly.
- The editor is used to write multiple lines and more complicated programs, which can then be run.</x:v>
      </x:c>
      <x:c r="F28" s="38" t="str">
        <x:v>candidate_v2_e2
current_control_e1</x:v>
      </x:c>
      <x:c r="G28" s="38" t="str">
        <x:v>True</x:v>
      </x:c>
      <x:c r="H28" s="38" t="str">
        <x:v>True</x:v>
      </x:c>
      <x:c r="I28" s="38" t="str">
        <x:v>nykOeWgQcHM:semantic_cosine_wp240_v1:39</x:v>
      </x:c>
      <x:c r="J28" s="38" t="str">
        <x:v>1</x:v>
      </x:c>
      <x:c r="K28" s="38"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c r="L28" s="38" t="str">
        <x:v>https://www.youtube.com/watch?v=nykOeWgQcHM&amp;t=1739s</x:v>
      </x:c>
      <x:c r="M28" s="38" t="str">
        <x:v>The candidate excerpt directly supports the answer that using the shell is different from using the editor in that shell commands are simple and used for testing, while editor commands are more lines and complicated programs.</x:v>
      </x:c>
      <x:c r="N28" s="38" t="str">
        <x:v>The evidence supports both sides of the comparison and the requested contrast.</x:v>
      </x:c>
      <x:c r="O28" s="38" t="str">
        <x:v>baseline_m3_canonical</x:v>
      </x:c>
      <x:c r="P28" s="38" t="str">
        <x:v>supports</x:v>
      </x:c>
      <x:c r="Q28" s="38" t="str">
        <x:v>Directly contrasts simple commands in the shell with longer, more complicated programs in the editor.</x:v>
      </x:c>
      <x:c r="R28" s="38" t="str">
        <x:v>canonical_reuse</x:v>
      </x:c>
    </x:row>
    <x:row r="29" ht="74" customHeight="1">
      <x:c r="A29" s="38" t="str">
        <x:v>mit60001-q-015|nykOeWgQcHM:semantic_cosine_wp240_v1:44</x:v>
      </x:c>
      <x:c r="B29" s="38" t="str">
        <x:v>mit60001-q-015</x:v>
      </x:c>
      <x:c r="C29" s="38" t="str">
        <x:v>evaluated_37</x:v>
      </x:c>
      <x:c r="D29" s="38" t="str">
        <x:v>According to the course, how is using the shell different from using the editor?</x:v>
      </x:c>
      <x:c r="E29" s="38" t="str">
        <x:v>- The shell lets a user type and execute simple commands directly, typically to test something quickly.
- The editor is used to write multiple lines and more complicated programs, which can then be run.</x:v>
      </x:c>
      <x:c r="F29" s="38" t="str">
        <x:v>candidate_v2_e2</x:v>
      </x:c>
      <x:c r="G29" s="38" t="str">
        <x:v>False</x:v>
      </x:c>
      <x:c r="H29" s="38" t="str">
        <x:v>True</x:v>
      </x:c>
      <x:c r="I29" s="38" t="str">
        <x:v>nykOeWgQcHM:semantic_cosine_wp240_v1:44</x:v>
      </x:c>
      <x:c r="J29" s="38" t="str">
        <x:v>3</x:v>
      </x:c>
      <x:c r="K29" s="38"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c r="L29" s="38" t="str">
        <x:v>https://www.youtube.com/watch?v=nykOeWgQcHM&amp;t=1951s</x:v>
      </x:c>
      <x:c r="M29" s="38" t="str"/>
      <x:c r="N29" s="38" t="str">
        <x:v>The evidence supports both sides of the comparison and the requested contrast.</x:v>
      </x:c>
      <x:c r="O29" s="38" t="str"/>
      <x:c r="P29" s="38" t="str"/>
      <x:c r="Q29" s="38" t="str"/>
      <x:c r="R29" s="38" t="str">
        <x:v>pending</x:v>
      </x:c>
    </x:row>
    <x:row r="30" ht="74" customHeight="1">
      <x:c r="A30" s="38" t="str">
        <x:v>mit60001-q-016|9H6muyZjms0:semantic_cosine_wp240_v1:51</x:v>
      </x:c>
      <x:c r="B30" s="38" t="str">
        <x:v>mit60001-q-016</x:v>
      </x:c>
      <x:c r="C30" s="38" t="str">
        <x:v>evaluated_37</x:v>
      </x:c>
      <x:c r="D30" s="38" t="str">
        <x:v>According to the course, what does an assertion check in a program?</x:v>
      </x:c>
      <x:c r="E30" s="38" t="str">
        <x:v>- Assertions check that assumptions about a computation match what a function expects.
- They can enforce function preconditions or postconditions, including input type and value conditions.
- When an assertion is false, Python raises an assertion error and the function stops immediately.</x:v>
      </x:c>
      <x:c r="F30" s="38" t="str">
        <x:v>candidate_v2_e2
current_control_e1</x:v>
      </x:c>
      <x:c r="G30" s="38" t="str">
        <x:v>True</x:v>
      </x:c>
      <x:c r="H30" s="38" t="str">
        <x:v>True</x:v>
      </x:c>
      <x:c r="I30" s="38" t="str">
        <x:v>9H6muyZjms0:semantic_cosine_wp240_v1:51</x:v>
      </x:c>
      <x:c r="J30" s="38" t="str">
        <x:v>1</x:v>
      </x:c>
      <x:c r="K30" s="38"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c r="L30" s="38" t="str">
        <x:v>https://www.youtube.com/watch?v=9H6muyZjms0&amp;t=2375s</x:v>
      </x:c>
      <x:c r="M30" s="38" t="str">
        <x:v>The candidate excerpt directly supports the answer that an assertion check in a program prevents the program from propagating bad values.</x:v>
      </x:c>
      <x:c r="N30" s="38" t="str">
        <x:v>The evidence supports the entire question and covers all essential parts.</x:v>
      </x:c>
      <x:c r="O30" s="38" t="str">
        <x:v>baseline_m3_canonical</x:v>
      </x:c>
      <x:c r="P30" s="38" t="str">
        <x:v>supports</x:v>
      </x:c>
      <x:c r="Q30" s="38" t="str">
        <x:v>Directly explains assertion pre/postconditions and immediate termination when an assertion is false.</x:v>
      </x:c>
      <x:c r="R30" s="38" t="str">
        <x:v>canonical_reuse</x:v>
      </x:c>
    </x:row>
    <x:row r="31" ht="74" customHeight="1">
      <x:c r="A31" s="38" t="str">
        <x:v>mit60001-q-017|9H6muyZjms0:semantic_cosine_wp240_v1:31</x:v>
      </x:c>
      <x:c r="B31" s="38" t="str">
        <x:v>mit60001-q-017</x:v>
      </x:c>
      <x:c r="C31" s="38" t="str">
        <x:v>excluded_existing</x:v>
      </x:c>
      <x:c r="D31" s="38" t="str">
        <x:v>What does the course say is the purpose of exception handling?</x:v>
      </x:c>
      <x:c r="E31" s="38" t="str">
        <x:v>- Exception handling catches an error that would otherwise raise an exception and interrupt normal execution.
- It lets the programmer respond in a controlled way, such as printing a clearer message for bad user input.
- A programmer can also raise an exception deliberately to signal an error condition and direct later control flow.</x:v>
      </x:c>
      <x:c r="F31" s="38" t="str">
        <x:v>candidate_v2_e2
current_control_e1</x:v>
      </x:c>
      <x:c r="G31" s="38" t="str">
        <x:v>True</x:v>
      </x:c>
      <x:c r="H31" s="38" t="str">
        <x:v>True</x:v>
      </x:c>
      <x:c r="I31" s="38" t="str">
        <x:v>9H6muyZjms0:semantic_cosine_wp240_v1:31</x:v>
      </x:c>
      <x:c r="J31" s="38" t="str">
        <x:v>1</x:v>
      </x:c>
      <x:c r="K31" s="38"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L31" s="38" t="str">
        <x:v>https://www.youtube.com/watch?v=9H6muyZjms0&amp;t=1286s</x:v>
      </x:c>
      <x:c r="M31" s="38" t="str">
        <x:v>The candidate excerpt directly supports the answer that exception handling is used for testing and debugging.</x:v>
      </x:c>
      <x:c r="N31" s="38" t="str">
        <x:v>The evidence supports the purpose of exception handling as related to testing and debugging.</x:v>
      </x:c>
      <x:c r="O31" s="38" t="str">
        <x:v>baseline_m3_canonical</x:v>
      </x:c>
      <x:c r="P31" s="38" t="str">
        <x:v>does_not_support</x:v>
      </x:c>
      <x:c r="Q31" s="38" t="str">
        <x:v>Defines exceptions and program stopping, but does not explain the purpose of exception handling or a controlled handler response.</x:v>
      </x:c>
      <x:c r="R31" s="38" t="str">
        <x:v>canonical_reuse</x:v>
      </x:c>
    </x:row>
    <x:row r="32" ht="74" customHeight="1">
      <x:c r="A32" s="38" t="str">
        <x:v>mit60001-q-018|9H6muyZjms0:semantic_cosine_wp240_v1:13</x:v>
      </x:c>
      <x:c r="B32" s="38" t="str">
        <x:v>mit60001-q-018</x:v>
      </x:c>
      <x:c r="C32" s="38" t="str">
        <x:v>evaluated_37</x:v>
      </x:c>
      <x:c r="D32" s="38" t="str">
        <x:v>What does black-box testing examine according to the course?</x:v>
      </x:c>
      <x:c r="E32" s="38" t="str">
        <x:v>- Black-box testing derives test cases from the function specification or docstring without examining the implementation code.</x:v>
      </x:c>
      <x:c r="F32" s="38" t="str">
        <x:v>candidate_v2_e2
current_control_e1</x:v>
      </x:c>
      <x:c r="G32" s="38" t="str">
        <x:v>True</x:v>
      </x:c>
      <x:c r="H32" s="38" t="str">
        <x:v>True</x:v>
      </x:c>
      <x:c r="I32" s="38" t="str">
        <x:v>9H6muyZjms0:semantic_cosine_wp240_v1:13</x:v>
      </x:c>
      <x:c r="J32" s="38" t="str">
        <x:v>2</x:v>
      </x:c>
      <x:c r="K32" s="38"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c r="L32" s="38" t="str">
        <x:v>https://www.youtube.com/watch?v=9H6muyZjms0&amp;t=511s</x:v>
      </x:c>
      <x:c r="M32" s="38" t="str">
        <x:v>The excerpt directly supports the answer that black-box testing examines the specifications of a function.</x:v>
      </x:c>
      <x:c r="N32" s="38" t="str">
        <x:v>The evidence supports the requested answer and covers the entire question.</x:v>
      </x:c>
      <x:c r="O32" s="38" t="str">
        <x:v>baseline_m3_canonical</x:v>
      </x:c>
      <x:c r="P32" s="38" t="str">
        <x:v>supports</x:v>
      </x:c>
      <x:c r="Q32" s="38" t="str">
        <x:v>Directly says black-box tests are derived from the specification/docstring rather than implementation code.</x:v>
      </x:c>
      <x:c r="R32" s="38" t="str">
        <x:v>canonical_reuse</x:v>
      </x:c>
    </x:row>
    <x:row r="33" ht="74" customHeight="1">
      <x:c r="A33" s="38" t="str">
        <x:v>mit60001-q-018|9H6muyZjms0:semantic_cosine_wp240_v1:14</x:v>
      </x:c>
      <x:c r="B33" s="38" t="str">
        <x:v>mit60001-q-018</x:v>
      </x:c>
      <x:c r="C33" s="38" t="str">
        <x:v>evaluated_37</x:v>
      </x:c>
      <x:c r="D33" s="38" t="str">
        <x:v>What does black-box testing examine according to the course?</x:v>
      </x:c>
      <x:c r="E33" s="38" t="str">
        <x:v>- Black-box testing derives test cases from the function specification or docstring without examining the implementation code.</x:v>
      </x:c>
      <x:c r="F33" s="38" t="str">
        <x:v>candidate_v2_e2</x:v>
      </x:c>
      <x:c r="G33" s="38" t="str">
        <x:v>False</x:v>
      </x:c>
      <x:c r="H33" s="38" t="str">
        <x:v>True</x:v>
      </x:c>
      <x:c r="I33" s="38" t="str">
        <x:v>9H6muyZjms0:semantic_cosine_wp240_v1:14</x:v>
      </x:c>
      <x:c r="J33" s="38" t="str">
        <x:v>3</x:v>
      </x:c>
      <x:c r="K33" s="38"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L33" s="38" t="str">
        <x:v>https://www.youtube.com/watch?v=9H6muyZjms0&amp;t=556s</x:v>
      </x:c>
      <x:c r="M33" s="38" t="str"/>
      <x:c r="N33" s="38" t="str">
        <x:v>The evidence supports the requested answer and covers the entire question.</x:v>
      </x:c>
      <x:c r="O33" s="38" t="str"/>
      <x:c r="P33" s="38" t="str"/>
      <x:c r="Q33" s="38" t="str"/>
      <x:c r="R33" s="38" t="str">
        <x:v>pending</x:v>
      </x:c>
    </x:row>
    <x:row r="34" ht="74" customHeight="1">
      <x:c r="A34" s="38" t="str">
        <x:v>mit60001-q-019|6LOwPhPDwVc:semantic_cosine_wp240_v1:2</x:v>
      </x:c>
      <x:c r="B34" s="38" t="str">
        <x:v>mit60001-q-019</x:v>
      </x:c>
      <x:c r="C34" s="38" t="str">
        <x:v>evaluated_37</x:v>
      </x:c>
      <x:c r="D34" s="38" t="str">
        <x:v>According to the lecture, what is the goal of bisection search?</x:v>
      </x:c>
      <x:c r="E34" s="38" t="str">
        <x:v>- Bisection search is used as a search algorithm for finding an approximation within an implicit numeric collection or range.</x:v>
      </x:c>
      <x:c r="F34" s="38" t="str">
        <x:v>candidate_v2_e2</x:v>
      </x:c>
      <x:c r="G34" s="38" t="str">
        <x:v>False</x:v>
      </x:c>
      <x:c r="H34" s="38" t="str">
        <x:v>True</x:v>
      </x:c>
      <x:c r="I34" s="38" t="str">
        <x:v>6LOwPhPDwVc:semantic_cosine_wp240_v1:2</x:v>
      </x:c>
      <x:c r="J34" s="38" t="str">
        <x:v>1</x:v>
      </x:c>
      <x:c r="K34" s="38"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c r="L34" s="38" t="str">
        <x:v>https://www.youtube.com/watch?v=6LOwPhPDwVc&amp;t=95s</x:v>
      </x:c>
      <x:c r="M34" s="38" t="str"/>
      <x:c r="N34" s="38" t="str">
        <x:v>The whole question is covered.</x:v>
      </x:c>
      <x:c r="O34" s="38" t="str">
        <x:v>baseline_m3_canonical</x:v>
      </x:c>
      <x:c r="P34" s="38" t="str">
        <x:v>supports</x:v>
      </x:c>
      <x:c r="Q34" s="38" t="str">
        <x:v>Directly identifies bisection search as a search algorithm over an implicit numeric collection/range for approximation.</x:v>
      </x:c>
      <x:c r="R34" s="38" t="str">
        <x:v>canonical_reuse</x:v>
      </x:c>
    </x:row>
    <x:row r="35" ht="74" customHeight="1">
      <x:c r="A35" s="38" t="str">
        <x:v>mit60001-q-019|7lQXYl_L28w:semantic_cosine_wp240_v1:13</x:v>
      </x:c>
      <x:c r="B35" s="38" t="str">
        <x:v>mit60001-q-019</x:v>
      </x:c>
      <x:c r="C35" s="38" t="str">
        <x:v>evaluated_37</x:v>
      </x:c>
      <x:c r="D35" s="38" t="str">
        <x:v>According to the lecture, what is the goal of bisection search?</x:v>
      </x:c>
      <x:c r="E35" s="38" t="str">
        <x:v>- Bisection search is used as a search algorithm for finding an approximation within an implicit numeric collection or range.</x:v>
      </x:c>
      <x:c r="F35" s="38" t="str">
        <x:v>candidate_v2_e2</x:v>
      </x:c>
      <x:c r="G35" s="38" t="str">
        <x:v>False</x:v>
      </x:c>
      <x:c r="H35" s="38" t="str">
        <x:v>True</x:v>
      </x:c>
      <x:c r="I35" s="38" t="str">
        <x:v>7lQXYl_L28w:semantic_cosine_wp240_v1:13</x:v>
      </x:c>
      <x:c r="J35" s="38" t="str">
        <x:v>3</x:v>
      </x:c>
      <x:c r="K35"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L35" s="38" t="str">
        <x:v>https://www.youtube.com/watch?v=7lQXYl_L28w&amp;t=478s</x:v>
      </x:c>
      <x:c r="M35" s="38" t="str"/>
      <x:c r="N35" s="38" t="str">
        <x:v>The whole question is covered.</x:v>
      </x:c>
      <x:c r="O35" s="38" t="str"/>
      <x:c r="P35" s="38" t="str"/>
      <x:c r="Q35" s="38" t="str"/>
      <x:c r="R35" s="38" t="str">
        <x:v>pending</x:v>
      </x:c>
    </x:row>
    <x:row r="36" ht="74" customHeight="1">
      <x:c r="A36" s="38" t="str">
        <x:v>mit60001-q-019|SE4P7IVCunE:semantic_cosine_wp240_v1:53</x:v>
      </x:c>
      <x:c r="B36" s="38" t="str">
        <x:v>mit60001-q-019</x:v>
      </x:c>
      <x:c r="C36" s="38" t="str">
        <x:v>evaluated_37</x:v>
      </x:c>
      <x:c r="D36" s="38" t="str">
        <x:v>According to the lecture, what is the goal of bisection search?</x:v>
      </x:c>
      <x:c r="E36" s="38" t="str">
        <x:v>- Bisection search is used as a search algorithm for finding an approximation within an implicit numeric collection or range.</x:v>
      </x:c>
      <x:c r="F36" s="38" t="str">
        <x:v>candidate_v2_e2</x:v>
      </x:c>
      <x:c r="G36" s="38" t="str">
        <x:v>False</x:v>
      </x:c>
      <x:c r="H36" s="38" t="str">
        <x:v>True</x:v>
      </x:c>
      <x:c r="I36" s="38" t="str">
        <x:v>SE4P7IVCunE:semantic_cosine_wp240_v1:53</x:v>
      </x:c>
      <x:c r="J36" s="38" t="str">
        <x:v>2</x:v>
      </x:c>
      <x:c r="K36" s="38"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c r="L36" s="38" t="str">
        <x:v>https://www.youtube.com/watch?v=SE4P7IVCunE&amp;t=2389s</x:v>
      </x:c>
      <x:c r="M36" s="38" t="str"/>
      <x:c r="N36" s="38" t="str">
        <x:v>The whole question is covered.</x:v>
      </x:c>
      <x:c r="O36" s="38" t="str"/>
      <x:c r="P36" s="38" t="str"/>
      <x:c r="Q36" s="38" t="str"/>
      <x:c r="R36" s="38" t="str">
        <x:v>pending</x:v>
      </x:c>
    </x:row>
    <x:row r="37" ht="74" customHeight="1">
      <x:c r="A37" s="38" t="str">
        <x:v>mit60001-q-020|SE4P7IVCunE:semantic_cosine_wp240_v1:12</x:v>
      </x:c>
      <x:c r="B37" s="38" t="str">
        <x:v>mit60001-q-020</x:v>
      </x:c>
      <x:c r="C37" s="38" t="str">
        <x:v>evaluated_37</x:v>
      </x:c>
      <x:c r="D37" s="38" t="str">
        <x:v>How does the lecture use len, indexing, and slicing to inspect or extract parts of a string?</x:v>
      </x:c>
      <x:c r="E37" s="38" t="str">
        <x:v>- len returns the number of characters in a string.
- Indexing retrieves the character at a specified position in the string.
- Slicing extracts a substring using start and stop indices and an optional step.</x:v>
      </x:c>
      <x:c r="F37" s="38" t="str">
        <x:v>candidate_v2_e2
current_control_e1</x:v>
      </x:c>
      <x:c r="G37" s="38" t="str">
        <x:v>True</x:v>
      </x:c>
      <x:c r="H37" s="38" t="str">
        <x:v>True</x:v>
      </x:c>
      <x:c r="I37" s="38" t="str">
        <x:v>SE4P7IVCunE:semantic_cosine_wp240_v1:12</x:v>
      </x:c>
      <x:c r="J37" s="38" t="str">
        <x:v>2</x:v>
      </x:c>
      <x:c r="K37" s="38" t="str">
        <x:v>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x:v>
      </x:c>
      <x:c r="L37" s="38" t="str">
        <x:v>https://www.youtube.com/watch?v=SE4P7IVCunE&amp;t=592s</x:v>
      </x:c>
      <x:c r="M37" s="38"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c r="N37" s="38" t="str">
        <x:v>The evidence supports the requested mechanism or behavior</x:v>
      </x:c>
      <x:c r="O37" s="38" t="str">
        <x:v>baseline_m3_canonical</x:v>
      </x:c>
      <x:c r="P37" s="38" t="str">
        <x:v>supports</x:v>
      </x:c>
      <x:c r="Q37" s="38" t="str">
        <x:v>Valid evidence for the slicing part: shows step-based slicing and reversing a string, though it does not cover len/indexing by itself.</x:v>
      </x:c>
      <x:c r="R37" s="38" t="str">
        <x:v>canonical_reuse</x:v>
      </x:c>
    </x:row>
    <x:row r="38" ht="74" customHeight="1">
      <x:c r="A38" s="38" t="str">
        <x:v>mit60001-q-020|SE4P7IVCunE:semantic_cosine_wp240_v1:4</x:v>
      </x:c>
      <x:c r="B38" s="38" t="str">
        <x:v>mit60001-q-020</x:v>
      </x:c>
      <x:c r="C38" s="38" t="str">
        <x:v>evaluated_37</x:v>
      </x:c>
      <x:c r="D38" s="38" t="str">
        <x:v>How does the lecture use len, indexing, and slicing to inspect or extract parts of a string?</x:v>
      </x:c>
      <x:c r="E38" s="38" t="str">
        <x:v>- len returns the number of characters in a string.
- Indexing retrieves the character at a specified position in the string.
- Slicing extracts a substring using start and stop indices and an optional step.</x:v>
      </x:c>
      <x:c r="F38" s="38" t="str">
        <x:v>candidate_v2_e2</x:v>
      </x:c>
      <x:c r="G38" s="38" t="str">
        <x:v>False</x:v>
      </x:c>
      <x:c r="H38" s="38" t="str">
        <x:v>True</x:v>
      </x:c>
      <x:c r="I38" s="38" t="str">
        <x:v>SE4P7IVCunE:semantic_cosine_wp240_v1:4</x:v>
      </x:c>
      <x:c r="J38" s="38" t="str">
        <x:v>1</x:v>
      </x:c>
      <x:c r="K38" s="38" t="str">
        <x:v>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L38" s="38" t="str">
        <x:v>https://www.youtube.com/watch?v=SE4P7IVCunE&amp;t=188s</x:v>
      </x:c>
      <x:c r="M38" s="38" t="str"/>
      <x:c r="N38" s="38" t="str">
        <x:v>The evidence supports the requested mechanism or behavior</x:v>
      </x:c>
      <x:c r="O38" s="38" t="str"/>
      <x:c r="P38" s="38" t="str"/>
      <x:c r="Q38" s="38" t="str"/>
      <x:c r="R38" s="38" t="str">
        <x:v>pending</x:v>
      </x:c>
    </x:row>
    <x:row r="39" ht="74" customHeight="1">
      <x:c r="A39" s="38" t="str">
        <x:v>mit60001-q-020|SE4P7IVCunE:semantic_cosine_wp240_v1:9</x:v>
      </x:c>
      <x:c r="B39" s="38" t="str">
        <x:v>mit60001-q-020</x:v>
      </x:c>
      <x:c r="C39" s="38" t="str">
        <x:v>evaluated_37</x:v>
      </x:c>
      <x:c r="D39" s="38" t="str">
        <x:v>How does the lecture use len, indexing, and slicing to inspect or extract parts of a string?</x:v>
      </x:c>
      <x:c r="E39" s="38" t="str">
        <x:v>- len returns the number of characters in a string.
- Indexing retrieves the character at a specified position in the string.
- Slicing extracts a substring using start and stop indices and an optional step.</x:v>
      </x:c>
      <x:c r="F39" s="38" t="str">
        <x:v>candidate_v2_e2
current_control_e1</x:v>
      </x:c>
      <x:c r="G39" s="38" t="str">
        <x:v>True</x:v>
      </x:c>
      <x:c r="H39" s="38" t="str">
        <x:v>True</x:v>
      </x:c>
      <x:c r="I39" s="38" t="str">
        <x:v>SE4P7IVCunE:semantic_cosine_wp240_v1:9</x:v>
      </x:c>
      <x:c r="J39" s="38" t="str">
        <x:v>3</x:v>
      </x:c>
      <x:c r="K39" s="38"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c r="L39" s="38" t="str">
        <x:v>https://www.youtube.com/watch?v=SE4P7IVCunE&amp;t=406s</x:v>
      </x:c>
      <x:c r="M39" s="38"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c r="N39" s="38" t="str">
        <x:v>The evidence supports the requested mechanism or behavior</x:v>
      </x:c>
      <x:c r="O39" s="38" t="str">
        <x:v>baseline_m3_canonical</x:v>
      </x:c>
      <x:c r="P39" s="38" t="str">
        <x:v>supports</x:v>
      </x:c>
      <x:c r="Q39" s="38" t="str">
        <x:v>Directly explains string slicing with start, stop, and optional step indices.</x:v>
      </x:c>
      <x:c r="R39" s="38" t="str">
        <x:v>canonical_reuse</x:v>
      </x:c>
    </x:row>
    <x:row r="40" ht="74" customHeight="1">
      <x:c r="A40" s="38" t="str">
        <x:v>mit60001-q-021|0jljZRnHwOI:semantic_cosine_wp240_v1:20</x:v>
      </x:c>
      <x:c r="B40" s="38" t="str">
        <x:v>mit60001-q-021</x:v>
      </x:c>
      <x:c r="C40" s="38" t="str">
        <x:v>evaluated_37</x:v>
      </x:c>
      <x:c r="D40" s="38" t="str">
        <x:v>How does the course explain the role of Boolean comparisons in branching?</x:v>
      </x:c>
      <x:c r="E40" s="38" t="str">
        <x:v>- Boolean comparisons provide tests whose results are True or False.
- Branching uses those test results to choose which path of the program should execute.</x:v>
      </x:c>
      <x:c r="F40" s="38" t="str">
        <x:v>candidate_v2_e2</x:v>
      </x:c>
      <x:c r="G40" s="38" t="str">
        <x:v>False</x:v>
      </x:c>
      <x:c r="H40" s="38" t="str">
        <x:v>True</x:v>
      </x:c>
      <x:c r="I40" s="38" t="str">
        <x:v>0jljZRnHwOI:semantic_cosine_wp240_v1:20</x:v>
      </x:c>
      <x:c r="J40" s="38" t="str">
        <x:v>1</x:v>
      </x:c>
      <x:c r="K40" s="38" t="str">
        <x:v>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x:v>
      </x:c>
      <x:c r="L40" s="38" t="str">
        <x:v>https://www.youtube.com/watch?v=0jljZRnHwOI&amp;t=977s</x:v>
      </x:c>
      <x:c r="M40" s="38" t="str"/>
      <x:c r="N40" s="38" t="str">
        <x:v>The evidence supports the requested answer and covers the entire question.</x:v>
      </x:c>
      <x:c r="O40" s="38" t="str"/>
      <x:c r="P40" s="38" t="str"/>
      <x:c r="Q40" s="38" t="str"/>
      <x:c r="R40" s="38" t="str">
        <x:v>pending</x:v>
      </x:c>
    </x:row>
    <x:row r="41" ht="74" customHeight="1">
      <x:c r="A41" s="38" t="str">
        <x:v>mit60001-q-021|FlGjISF3l78:semantic_cosine_wp240_v1:64</x:v>
      </x:c>
      <x:c r="B41" s="38" t="str">
        <x:v>mit60001-q-021</x:v>
      </x:c>
      <x:c r="C41" s="38" t="str">
        <x:v>evaluated_37</x:v>
      </x:c>
      <x:c r="D41" s="38" t="str">
        <x:v>How does the course explain the role of Boolean comparisons in branching?</x:v>
      </x:c>
      <x:c r="E41" s="38" t="str">
        <x:v>- Boolean comparisons provide tests whose results are True or False.
- Branching uses those test results to choose which path of the program should execute.</x:v>
      </x:c>
      <x:c r="F41" s="38" t="str">
        <x:v>candidate_v2_e2</x:v>
      </x:c>
      <x:c r="G41" s="38" t="str">
        <x:v>False</x:v>
      </x:c>
      <x:c r="H41" s="38" t="str">
        <x:v>True</x:v>
      </x:c>
      <x:c r="I41" s="38" t="str">
        <x:v>FlGjISF3l78:semantic_cosine_wp240_v1:64</x:v>
      </x:c>
      <x:c r="J41" s="38" t="str">
        <x:v>2</x:v>
      </x:c>
      <x:c r="K41" s="38" t="str">
        <x:v>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x:v>
      </x:c>
      <x:c r="L41" s="38" t="str">
        <x:v>https://www.youtube.com/watch?v=FlGjISF3l78&amp;t=2723s</x:v>
      </x:c>
      <x:c r="M41" s="38" t="str"/>
      <x:c r="N41" s="38" t="str">
        <x:v>The evidence supports the requested answer and covers the entire question.</x:v>
      </x:c>
      <x:c r="O41" s="38" t="str"/>
      <x:c r="P41" s="38" t="str"/>
      <x:c r="Q41" s="38" t="str"/>
      <x:c r="R41" s="38" t="str">
        <x:v>pending</x:v>
      </x:c>
    </x:row>
    <x:row r="42" ht="74" customHeight="1">
      <x:c r="A42" s="38" t="str">
        <x:v>mit60001-q-021|SE4P7IVCunE:semantic_cosine_wp240_v1:28</x:v>
      </x:c>
      <x:c r="B42" s="38" t="str">
        <x:v>mit60001-q-021</x:v>
      </x:c>
      <x:c r="C42" s="38" t="str">
        <x:v>evaluated_37</x:v>
      </x:c>
      <x:c r="D42" s="38" t="str">
        <x:v>How does the course explain the role of Boolean comparisons in branching?</x:v>
      </x:c>
      <x:c r="E42" s="38" t="str">
        <x:v>- Boolean comparisons provide tests whose results are True or False.
- Branching uses those test results to choose which path of the program should execute.</x:v>
      </x:c>
      <x:c r="F42" s="38" t="str">
        <x:v>candidate_v2_e2</x:v>
      </x:c>
      <x:c r="G42" s="38" t="str">
        <x:v>False</x:v>
      </x:c>
      <x:c r="H42" s="38" t="str">
        <x:v>True</x:v>
      </x:c>
      <x:c r="I42" s="38" t="str">
        <x:v>SE4P7IVCunE:semantic_cosine_wp240_v1:28</x:v>
      </x:c>
      <x:c r="J42" s="38" t="str">
        <x:v>3</x:v>
      </x:c>
      <x:c r="K42" s="38"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c r="L42" s="38" t="str">
        <x:v>https://www.youtube.com/watch?v=SE4P7IVCunE&amp;t=1298s</x:v>
      </x:c>
      <x:c r="M42" s="38" t="str"/>
      <x:c r="N42" s="38" t="str">
        <x:v>The evidence supports the requested answer and covers the entire question.</x:v>
      </x:c>
      <x:c r="O42" s="38" t="str"/>
      <x:c r="P42" s="38" t="str"/>
      <x:c r="Q42" s="38" t="str"/>
      <x:c r="R42" s="38" t="str">
        <x:v>pending</x:v>
      </x:c>
    </x:row>
    <x:row r="43" ht="74" customHeight="1">
      <x:c r="A43" s="38" t="str">
        <x:v>mit60001-q-022|7lQXYl_L28w:semantic_cosine_wp240_v1:84</x:v>
      </x:c>
      <x:c r="B43" s="38" t="str">
        <x:v>mit60001-q-022</x:v>
      </x:c>
      <x:c r="C43" s="38" t="str">
        <x:v>evaluated_37</x:v>
      </x:c>
      <x:c r="D43" s="38" t="str">
        <x:v>Why is a dictionary more suitable than a list for key-value lookup?</x:v>
      </x:c>
      <x:c r="E43" s="38"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43" s="38" t="str">
        <x:v>candidate_v2_e2
current_control_e1</x:v>
      </x:c>
      <x:c r="G43" s="38" t="str">
        <x:v>True</x:v>
      </x:c>
      <x:c r="H43" s="38" t="str">
        <x:v>True</x:v>
      </x:c>
      <x:c r="I43" s="38" t="str">
        <x:v>7lQXYl_L28w:semantic_cosine_wp240_v1:84</x:v>
      </x:c>
      <x:c r="J43" s="38" t="str">
        <x:v>3</x:v>
      </x:c>
      <x:c r="K43" s="38" t="str">
        <x:v>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x:v>
      </x:c>
      <x:c r="L43" s="38" t="str">
        <x:v>https://www.youtube.com/watch?v=7lQXYl_L28w&amp;t=2890s</x:v>
      </x:c>
      <x:c r="M43" s="38" t="str">
        <x:v>The candidate excerpt directly supports the answer that a dictionary is more suitable than a list for key-value lookup because it explains that dictionaries allow for indexing by a key or label, making it easier to retrieve values associated with a particular key.</x:v>
      </x:c>
      <x:c r="N43" s="38" t="str">
        <x:v>The evidence supports the reason why a dictionary is more suitable than a list for key-value lookup.</x:v>
      </x:c>
      <x:c r="O43" s="38" t="str">
        <x:v>baseline_m3_canonical</x:v>
      </x:c>
      <x:c r="P43" s="38" t="str">
        <x:v>supports</x:v>
      </x:c>
      <x:c r="Q43" s="38" t="str">
        <x:v>Directly contrasts direct list indexing with dictionary key lookup and discusses the lookup-cost tradeoff.</x:v>
      </x:c>
      <x:c r="R43" s="38" t="str">
        <x:v>canonical_reuse</x:v>
      </x:c>
    </x:row>
    <x:row r="44" ht="74" customHeight="1">
      <x:c r="A44" s="38" t="str">
        <x:v>mit60001-q-022|WPSeyjX1-4s:semantic_cosine_wp240_v1:59</x:v>
      </x:c>
      <x:c r="B44" s="38" t="str">
        <x:v>mit60001-q-022</x:v>
      </x:c>
      <x:c r="C44" s="38" t="str">
        <x:v>evaluated_37</x:v>
      </x:c>
      <x:c r="D44" s="38" t="str">
        <x:v>Why is a dictionary more suitable than a list for key-value lookup?</x:v>
      </x:c>
      <x:c r="E44" s="38"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44" s="38" t="str">
        <x:v>candidate_v2_e2
current_control_e1</x:v>
      </x:c>
      <x:c r="G44" s="38" t="str">
        <x:v>True</x:v>
      </x:c>
      <x:c r="H44" s="38" t="str">
        <x:v>True</x:v>
      </x:c>
      <x:c r="I44" s="38" t="str">
        <x:v>WPSeyjX1-4s:semantic_cosine_wp240_v1:59</x:v>
      </x:c>
      <x:c r="J44" s="38" t="str">
        <x:v>2</x:v>
      </x:c>
      <x:c r="K44" s="38" t="str">
        <x:v>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x:v>
      </x:c>
      <x:c r="L44" s="38" t="str">
        <x:v>https://www.youtube.com/watch?v=WPSeyjX1-4s&amp;t=2147s</x:v>
      </x:c>
      <x:c r="M44" s="38" t="str">
        <x:v>The candidate excerpt directly supports the answer that a dictionary is more suitable than a list for key-value lookup because it explains that dictionaries allow for indexing by a key or label, making it easier to retrieve values associated with a particular key.</x:v>
      </x:c>
      <x:c r="N44" s="38" t="str">
        <x:v>The evidence supports the reason why a dictionary is more suitable than a list for key-value lookup.</x:v>
      </x:c>
      <x:c r="O44" s="38" t="str">
        <x:v>baseline_m3_canonical</x:v>
      </x:c>
      <x:c r="P44" s="38" t="str">
        <x:v>supports</x:v>
      </x:c>
      <x:c r="Q44" s="38" t="str">
        <x:v>Directly explains that dictionaries associate keys/names with values and are indexed by the key/name.</x:v>
      </x:c>
      <x:c r="R44" s="38" t="str">
        <x:v>canonical_reuse</x:v>
      </x:c>
    </x:row>
    <x:row r="45" ht="74" customHeight="1">
      <x:c r="A45" s="38" t="str">
        <x:v>mit60001-q-022|WPSeyjX1-4s:semantic_cosine_wp240_v1:64</x:v>
      </x:c>
      <x:c r="B45" s="38" t="str">
        <x:v>mit60001-q-022</x:v>
      </x:c>
      <x:c r="C45" s="38" t="str">
        <x:v>evaluated_37</x:v>
      </x:c>
      <x:c r="D45" s="38" t="str">
        <x:v>Why is a dictionary more suitable than a list for key-value lookup?</x:v>
      </x:c>
      <x:c r="E45" s="38"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45" s="38" t="str">
        <x:v>candidate_v2_e2
current_control_e1</x:v>
      </x:c>
      <x:c r="G45" s="38" t="str">
        <x:v>True</x:v>
      </x:c>
      <x:c r="H45" s="38" t="str">
        <x:v>True</x:v>
      </x:c>
      <x:c r="I45" s="38" t="str">
        <x:v>WPSeyjX1-4s:semantic_cosine_wp240_v1:64</x:v>
      </x:c>
      <x:c r="J45" s="38" t="str">
        <x:v>1</x:v>
      </x:c>
      <x:c r="K45" s="38"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c r="L45" s="38" t="str">
        <x:v>https://www.youtube.com/watch?v=WPSeyjX1-4s&amp;t=2317s</x:v>
      </x:c>
      <x:c r="M45" s="38" t="str">
        <x:v>The candidate excerpt directly supports the answer that a dictionary is more suitable than a list for key-value lookup because it explains that dictionaries allow for indexing by a key or label, making it easier to retrieve values associated with a particular key.</x:v>
      </x:c>
      <x:c r="N45" s="38" t="str">
        <x:v>The evidence supports the reason why a dictionary is more suitable than a list for key-value lookup.</x:v>
      </x:c>
      <x:c r="O45" s="38" t="str">
        <x:v>baseline_m3_canonical</x:v>
      </x:c>
      <x:c r="P45" s="38" t="str">
        <x:v>does_not_support</x:v>
      </x:c>
      <x:c r="Q45" s="38" t="str">
        <x:v>Mentions keys, values, and membership iteration but does not explain why dictionary key-value lookup is preferable to list indexing.</x:v>
      </x:c>
      <x:c r="R45" s="38" t="str">
        <x:v>canonical_reuse</x:v>
      </x:c>
    </x:row>
    <x:row r="46" ht="74" customHeight="1">
      <x:c r="A46" s="38" t="str">
        <x:v>mit60001-q-023|MjbuarJ7SE0:semantic_cosine_wp240_v1:54</x:v>
      </x:c>
      <x:c r="B46" s="38" t="str">
        <x:v>mit60001-q-023</x:v>
      </x:c>
      <x:c r="C46" s="38" t="str">
        <x:v>excluded_existing</x:v>
      </x:c>
      <x:c r="D46" s="38" t="str">
        <x:v>How does the course explain abstraction when functions are used in a program?</x:v>
      </x:c>
      <x:c r="E46"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46" s="38" t="str">
        <x:v>candidate_v2_e2</x:v>
      </x:c>
      <x:c r="G46" s="38" t="str">
        <x:v>False</x:v>
      </x:c>
      <x:c r="H46" s="38" t="str">
        <x:v>True</x:v>
      </x:c>
      <x:c r="I46" s="38" t="str">
        <x:v>MjbuarJ7SE0:semantic_cosine_wp240_v1:54</x:v>
      </x:c>
      <x:c r="J46" s="38" t="str">
        <x:v>2</x:v>
      </x:c>
      <x:c r="K46"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L46" s="38" t="str">
        <x:v>https://www.youtube.com/watch?v=MjbuarJ7SE0&amp;t=2418s</x:v>
      </x:c>
      <x:c r="M46" s="38" t="str"/>
      <x:c r="N46" s="38" t="str">
        <x:v>The evidence supports the requested mechanism or behavior. The selected excerpts directly explain abstraction when functions are used in a program.</x:v>
      </x:c>
      <x:c r="O46" s="38" t="str"/>
      <x:c r="P46" s="38" t="str"/>
      <x:c r="Q46" s="38" t="str"/>
      <x:c r="R46" s="38" t="str">
        <x:v>pending</x:v>
      </x:c>
    </x:row>
    <x:row r="47" ht="74" customHeight="1">
      <x:c r="A47" s="38" t="str">
        <x:v>mit60001-q-023|MjbuarJ7SE0:semantic_cosine_wp240_v1:6</x:v>
      </x:c>
      <x:c r="B47" s="38" t="str">
        <x:v>mit60001-q-023</x:v>
      </x:c>
      <x:c r="C47" s="38" t="str">
        <x:v>excluded_existing</x:v>
      </x:c>
      <x:c r="D47" s="38" t="str">
        <x:v>How does the course explain abstraction when functions are used in a program?</x:v>
      </x:c>
      <x:c r="E47"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47" s="38" t="str">
        <x:v>candidate_v2_e2</x:v>
      </x:c>
      <x:c r="G47" s="38" t="str">
        <x:v>False</x:v>
      </x:c>
      <x:c r="H47" s="38" t="str">
        <x:v>True</x:v>
      </x:c>
      <x:c r="I47" s="38" t="str">
        <x:v>MjbuarJ7SE0:semantic_cosine_wp240_v1:6</x:v>
      </x:c>
      <x:c r="J47" s="38" t="str">
        <x:v>3</x:v>
      </x:c>
      <x:c r="K47" s="38"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L47" s="38" t="str">
        <x:v>https://www.youtube.com/watch?v=MjbuarJ7SE0&amp;t=247s</x:v>
      </x:c>
      <x:c r="M47" s="38" t="str"/>
      <x:c r="N47" s="38" t="str">
        <x:v>The evidence supports the requested mechanism or behavior. The selected excerpts directly explain abstraction when functions are used in a program.</x:v>
      </x:c>
      <x:c r="O47" s="38" t="str"/>
      <x:c r="P47" s="38" t="str"/>
      <x:c r="Q47" s="38" t="str"/>
      <x:c r="R47" s="38" t="str">
        <x:v>pending</x:v>
      </x:c>
    </x:row>
    <x:row r="48" ht="74" customHeight="1">
      <x:c r="A48" s="38" t="str">
        <x:v>mit60001-q-026|-DP1i2ZU9gk:semantic_cosine_wp240_v1:8</x:v>
      </x:c>
      <x:c r="B48" s="38" t="str">
        <x:v>mit60001-q-026</x:v>
      </x:c>
      <x:c r="C48" s="38" t="str">
        <x:v>evaluated_37</x:v>
      </x:c>
      <x:c r="D48" s="38" t="str">
        <x:v>What happens when a list element is accessed using an index?</x:v>
      </x:c>
      <x:c r="E48" s="38" t="str">
        <x:v>- Python can locate the address of the indexed list slot and follow the stored pointer to the object in memory.
- Because the address of the i-th slot is known, any list element can be accessed by index in constant time.</x:v>
      </x:c>
      <x:c r="F48" s="38" t="str">
        <x:v>candidate_v2_e2
current_control_e1</x:v>
      </x:c>
      <x:c r="G48" s="38" t="str">
        <x:v>True</x:v>
      </x:c>
      <x:c r="H48" s="38" t="str">
        <x:v>True</x:v>
      </x:c>
      <x:c r="I48" s="38" t="str">
        <x:v>-DP1i2ZU9gk:semantic_cosine_wp240_v1:8</x:v>
      </x:c>
      <x:c r="J48" s="38" t="str">
        <x:v>1</x:v>
      </x:c>
      <x:c r="K48" s="38"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c r="L48" s="38" t="str">
        <x:v>https://www.youtube.com/watch?v=-DP1i2ZU9gk&amp;t=329s</x:v>
      </x:c>
      <x:c r="M48" s="38" t="str">
        <x:v>The candidate excerpt at rank 1 directly supports the answer that when a list element is accessed using an index, it returns the value at that specific index.</x:v>
      </x:c>
      <x:c r="N48" s="38" t="str">
        <x:v>The whole question is covered</x:v>
      </x:c>
      <x:c r="O48" s="38" t="str">
        <x:v>baseline_m3_canonical</x:v>
      </x:c>
      <x:c r="P48" s="38" t="str">
        <x:v>does_not_support</x:v>
      </x:c>
      <x:c r="Q48" s="38" t="str">
        <x:v>Discusses values and pointers in an internal list representation, but does not entail direct indexed-slot addressing or constant-time indexed access; the chain description is insufficient for the expected answer.</x:v>
      </x:c>
      <x:c r="R48" s="38" t="str">
        <x:v>canonical_reuse</x:v>
      </x:c>
    </x:row>
    <x:row r="49" ht="74" customHeight="1">
      <x:c r="A49" s="38" t="str">
        <x:v>mit60001-q-026|7lQXYl_L28w:semantic_cosine_wp240_v1:16</x:v>
      </x:c>
      <x:c r="B49" s="38" t="str">
        <x:v>mit60001-q-026</x:v>
      </x:c>
      <x:c r="C49" s="38" t="str">
        <x:v>evaluated_37</x:v>
      </x:c>
      <x:c r="D49" s="38" t="str">
        <x:v>What happens when a list element is accessed using an index?</x:v>
      </x:c>
      <x:c r="E49" s="38" t="str">
        <x:v>- Python can locate the address of the indexed list slot and follow the stored pointer to the object in memory.
- Because the address of the i-th slot is known, any list element can be accessed by index in constant time.</x:v>
      </x:c>
      <x:c r="F49" s="38" t="str">
        <x:v>candidate_v2_e2</x:v>
      </x:c>
      <x:c r="G49" s="38" t="str">
        <x:v>False</x:v>
      </x:c>
      <x:c r="H49" s="38" t="str">
        <x:v>True</x:v>
      </x:c>
      <x:c r="I49" s="38" t="str">
        <x:v>7lQXYl_L28w:semantic_cosine_wp240_v1:16</x:v>
      </x:c>
      <x:c r="J49" s="38" t="str">
        <x:v>3</x:v>
      </x:c>
      <x:c r="K49" s="38" t="str">
        <x:v>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c r="L49" s="38" t="str">
        <x:v>https://www.youtube.com/watch?v=7lQXYl_L28w&amp;t=571s</x:v>
      </x:c>
      <x:c r="M49" s="38" t="str"/>
      <x:c r="N49" s="38" t="str">
        <x:v>The whole question is covered</x:v>
      </x:c>
      <x:c r="O49" s="38" t="str"/>
      <x:c r="P49" s="38" t="str"/>
      <x:c r="Q49" s="38" t="str"/>
      <x:c r="R49" s="38" t="str">
        <x:v>pending</x:v>
      </x:c>
    </x:row>
    <x:row r="50" ht="74" customHeight="1">
      <x:c r="A50" s="38" t="str">
        <x:v>mit60001-q-026|RvRKT-jXvko:semantic_cosine_wp240_v1:23</x:v>
      </x:c>
      <x:c r="B50" s="38" t="str">
        <x:v>mit60001-q-026</x:v>
      </x:c>
      <x:c r="C50" s="38" t="str">
        <x:v>evaluated_37</x:v>
      </x:c>
      <x:c r="D50" s="38" t="str">
        <x:v>What happens when a list element is accessed using an index?</x:v>
      </x:c>
      <x:c r="E50" s="38" t="str">
        <x:v>- Python can locate the address of the indexed list slot and follow the stored pointer to the object in memory.
- Because the address of the i-th slot is known, any list element can be accessed by index in constant time.</x:v>
      </x:c>
      <x:c r="F50" s="38" t="str">
        <x:v>candidate_v2_e2</x:v>
      </x:c>
      <x:c r="G50" s="38" t="str">
        <x:v>False</x:v>
      </x:c>
      <x:c r="H50" s="38" t="str">
        <x:v>True</x:v>
      </x:c>
      <x:c r="I50" s="38" t="str">
        <x:v>RvRKT-jXvko:semantic_cosine_wp240_v1:23</x:v>
      </x:c>
      <x:c r="J50" s="38" t="str">
        <x:v>2</x:v>
      </x:c>
      <x:c r="K50" s="38"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L50" s="38" t="str">
        <x:v>https://www.youtube.com/watch?v=RvRKT-jXvko&amp;t=965s</x:v>
      </x:c>
      <x:c r="M50" s="38" t="str"/>
      <x:c r="N50" s="38" t="str">
        <x:v>The whole question is covered</x:v>
      </x:c>
      <x:c r="O50" s="38" t="str"/>
      <x:c r="P50" s="38" t="str"/>
      <x:c r="Q50" s="38" t="str"/>
      <x:c r="R50" s="38" t="str">
        <x:v>pending</x:v>
      </x:c>
    </x:row>
    <x:row r="51" ht="74" customHeight="1">
      <x:c r="A51" s="38" t="str">
        <x:v>mit60001-q-027|SE4P7IVCunE:semantic_cosine_wp240_v1:21</x:v>
      </x:c>
      <x:c r="B51" s="38" t="str">
        <x:v>mit60001-q-027</x:v>
      </x:c>
      <x:c r="C51" s="38" t="str">
        <x:v>evaluated_37</x:v>
      </x:c>
      <x:c r="D51" s="38" t="str">
        <x:v>How does a for loop process the characters in a string?</x:v>
      </x:c>
      <x:c r="E51" s="38" t="str">
        <x:v>- A for loop over a string iterates directly over every character rather than over numeric indices.
- On each iteration, the loop variable holds one character from the string.</x:v>
      </x:c>
      <x:c r="F51" s="38" t="str">
        <x:v>candidate_v2_e2
current_control_e1</x:v>
      </x:c>
      <x:c r="G51" s="38" t="str">
        <x:v>True</x:v>
      </x:c>
      <x:c r="H51" s="38" t="str">
        <x:v>True</x:v>
      </x:c>
      <x:c r="I51" s="38" t="str">
        <x:v>SE4P7IVCunE:semantic_cosine_wp240_v1:21</x:v>
      </x:c>
      <x:c r="J51" s="38" t="str">
        <x:v>3</x:v>
      </x:c>
      <x:c r="K51" s="38" t="str">
        <x:v>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x:v>
      </x:c>
      <x:c r="L51" s="38" t="str">
        <x:v>https://www.youtube.com/watch?v=SE4P7IVCunE&amp;t=948s</x:v>
      </x:c>
      <x:c r="M51" s="38" t="str">
        <x:v>The candidate excerpt directly supports the answer that a for loop processes the characters in a string by iterating over every character in the string, as shown in the example where the loop variable 'char' iterates over every character in 's'.</x:v>
      </x:c>
      <x:c r="N51" s="38" t="str">
        <x:v>The evidence supports the mechanism of how a for loop processes characters in a string.</x:v>
      </x:c>
      <x:c r="O51" s="38" t="str">
        <x:v>baseline_m3_canonical</x:v>
      </x:c>
      <x:c r="P51" s="38" t="str">
        <x:v>supports</x:v>
      </x:c>
      <x:c r="Q51" s="38" t="str">
        <x:v>Directly explains that a for loop iterates over each character in a string and the loop variable holds a character.</x:v>
      </x:c>
      <x:c r="R51" s="38" t="str">
        <x:v>canonical_reuse</x:v>
      </x:c>
    </x:row>
    <x:row r="52" ht="74" customHeight="1">
      <x:c r="A52" s="38" t="str">
        <x:v>mit60001-q-027|zYVWQpCitKQ:semantic_cosine_wp240_v1:1</x:v>
      </x:c>
      <x:c r="B52" s="38" t="str">
        <x:v>mit60001-q-027</x:v>
      </x:c>
      <x:c r="C52" s="38" t="str">
        <x:v>evaluated_37</x:v>
      </x:c>
      <x:c r="D52" s="38" t="str">
        <x:v>How does a for loop process the characters in a string?</x:v>
      </x:c>
      <x:c r="E52" s="38" t="str">
        <x:v>- A for loop over a string iterates directly over every character rather than over numeric indices.
- On each iteration, the loop variable holds one character from the string.</x:v>
      </x:c>
      <x:c r="F52" s="38" t="str">
        <x:v>candidate_v2_e2</x:v>
      </x:c>
      <x:c r="G52" s="38" t="str">
        <x:v>False</x:v>
      </x:c>
      <x:c r="H52" s="38" t="str">
        <x:v>True</x:v>
      </x:c>
      <x:c r="I52" s="38" t="str">
        <x:v>zYVWQpCitKQ:semantic_cosine_wp240_v1:1</x:v>
      </x:c>
      <x:c r="J52" s="38" t="str">
        <x:v>2</x:v>
      </x:c>
      <x:c r="K52" s="38" t="str">
        <x:v>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x:v>
      </x:c>
      <x:c r="L52" s="38" t="str">
        <x:v>https://www.youtube.com/watch?v=zYVWQpCitKQ&amp;t=54s</x:v>
      </x:c>
      <x:c r="M52" s="38" t="str"/>
      <x:c r="N52" s="38" t="str">
        <x:v>The evidence supports the mechanism of how a for loop processes characters in a string.</x:v>
      </x:c>
      <x:c r="O52" s="38" t="str"/>
      <x:c r="P52" s="38" t="str"/>
      <x:c r="Q52" s="38" t="str"/>
      <x:c r="R52" s="38" t="str">
        <x:v>pending</x:v>
      </x:c>
    </x:row>
    <x:row r="53" ht="74" customHeight="1">
      <x:c r="A53" s="38" t="str">
        <x:v>mit60001-q-029|MjbuarJ7SE0:semantic_cosine_wp240_v1:20</x:v>
      </x:c>
      <x:c r="B53" s="38" t="str">
        <x:v>mit60001-q-029</x:v>
      </x:c>
      <x:c r="C53" s="38" t="str">
        <x:v>evaluated_37</x:v>
      </x:c>
      <x:c r="D53" s="38" t="str">
        <x:v>How does a function return a value to its caller?</x:v>
      </x:c>
      <x:c r="E53" s="38" t="str">
        <x:v>- A return statement specifies an expression whose evaluated value is sent back by the function.
- The code that called the function receives that returned value.</x:v>
      </x:c>
      <x:c r="F53" s="38" t="str">
        <x:v>candidate_v2_e2</x:v>
      </x:c>
      <x:c r="G53" s="38" t="str">
        <x:v>False</x:v>
      </x:c>
      <x:c r="H53" s="38" t="str">
        <x:v>True</x:v>
      </x:c>
      <x:c r="I53" s="38" t="str">
        <x:v>MjbuarJ7SE0:semantic_cosine_wp240_v1:20</x:v>
      </x:c>
      <x:c r="J53" s="38" t="str">
        <x:v>2</x:v>
      </x:c>
      <x:c r="K53" s="38" t="str">
        <x:v>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x:v>
      </x:c>
      <x:c r="L53" s="38" t="str">
        <x:v>https://www.youtube.com/watch?v=MjbuarJ7SE0&amp;t=867s</x:v>
      </x:c>
      <x:c r="M53" s="38" t="str"/>
      <x:c r="N53" s="38" t="str">
        <x:v>The evidence supports the mechanism by which a function returns a value to its caller.</x:v>
      </x:c>
      <x:c r="O53" s="38" t="str"/>
      <x:c r="P53" s="38" t="str"/>
      <x:c r="Q53" s="38" t="str"/>
      <x:c r="R53" s="38" t="str">
        <x:v>pending</x:v>
      </x:c>
    </x:row>
    <x:row r="54" ht="74" customHeight="1">
      <x:c r="A54" s="38" t="str">
        <x:v>mit60001-q-029|MjbuarJ7SE0:semantic_cosine_wp240_v1:21</x:v>
      </x:c>
      <x:c r="B54" s="38" t="str">
        <x:v>mit60001-q-029</x:v>
      </x:c>
      <x:c r="C54" s="38" t="str">
        <x:v>evaluated_37</x:v>
      </x:c>
      <x:c r="D54" s="38" t="str">
        <x:v>How does a function return a value to its caller?</x:v>
      </x:c>
      <x:c r="E54" s="38" t="str">
        <x:v>- A return statement specifies an expression whose evaluated value is sent back by the function.
- The code that called the function receives that returned value.</x:v>
      </x:c>
      <x:c r="F54" s="38" t="str">
        <x:v>candidate_v2_e2</x:v>
      </x:c>
      <x:c r="G54" s="38" t="str">
        <x:v>False</x:v>
      </x:c>
      <x:c r="H54" s="38" t="str">
        <x:v>True</x:v>
      </x:c>
      <x:c r="I54" s="38" t="str">
        <x:v>MjbuarJ7SE0:semantic_cosine_wp240_v1:21</x:v>
      </x:c>
      <x:c r="J54" s="38" t="str">
        <x:v>3</x:v>
      </x:c>
      <x:c r="K54" s="38"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L54" s="38" t="str">
        <x:v>https://www.youtube.com/watch?v=MjbuarJ7SE0&amp;t=913s</x:v>
      </x:c>
      <x:c r="M54" s="38" t="str"/>
      <x:c r="N54" s="38" t="str">
        <x:v>The evidence supports the mechanism by which a function returns a value to its caller.</x:v>
      </x:c>
      <x:c r="O54" s="38" t="str"/>
      <x:c r="P54" s="38" t="str"/>
      <x:c r="Q54" s="38" t="str"/>
      <x:c r="R54" s="38" t="str">
        <x:v>pending</x:v>
      </x:c>
    </x:row>
    <x:row r="55" ht="74" customHeight="1">
      <x:c r="A55" s="38" t="str">
        <x:v>mit60001-q-029|MjbuarJ7SE0:semantic_cosine_wp240_v1:27</x:v>
      </x:c>
      <x:c r="B55" s="38" t="str">
        <x:v>mit60001-q-029</x:v>
      </x:c>
      <x:c r="C55" s="38" t="str">
        <x:v>evaluated_37</x:v>
      </x:c>
      <x:c r="D55" s="38" t="str">
        <x:v>How does a function return a value to its caller?</x:v>
      </x:c>
      <x:c r="E55" s="38" t="str">
        <x:v>- A return statement specifies an expression whose evaluated value is sent back by the function.
- The code that called the function receives that returned value.</x:v>
      </x:c>
      <x:c r="F55" s="38" t="str">
        <x:v>candidate_v2_e2
current_control_e1</x:v>
      </x:c>
      <x:c r="G55" s="38" t="str">
        <x:v>True</x:v>
      </x:c>
      <x:c r="H55" s="38" t="str">
        <x:v>True</x:v>
      </x:c>
      <x:c r="I55" s="38" t="str">
        <x:v>MjbuarJ7SE0:semantic_cosine_wp240_v1:27</x:v>
      </x:c>
      <x:c r="J55" s="38" t="str">
        <x:v>1</x:v>
      </x:c>
      <x:c r="K55" s="38"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c r="L55" s="38" t="str">
        <x:v>https://www.youtube.com/watch?v=MjbuarJ7SE0&amp;t=1203s</x:v>
      </x:c>
      <x:c r="M55" s="38" t="str">
        <x:v>The candidate excerpt at rank 1 directly supports the answer. It explains how a function returns a value to its caller by stating 'so we're returning x' and 'so in the scope of f, x is equal to 4, so we're returning that value back to whoever called it'.</x:v>
      </x:c>
      <x:c r="N55" s="38" t="str">
        <x:v>The evidence supports the mechanism by which a function returns a value to its caller.</x:v>
      </x:c>
      <x:c r="O55" s="38" t="str">
        <x:v>baseline_m3_canonical</x:v>
      </x:c>
      <x:c r="P55" s="38" t="str">
        <x:v>supports</x:v>
      </x:c>
      <x:c r="Q55" s="38" t="str">
        <x:v>Directly shows a return value being sent back to the caller and replacing the function call in the caller scope.</x:v>
      </x:c>
      <x:c r="R55" s="38" t="str">
        <x:v>canonical_reuse</x:v>
      </x:c>
    </x:row>
    <x:row r="56" ht="74" customHeight="1">
      <x:c r="A56" s="38" t="str">
        <x:v>mit60001-q-030|-DP1i2ZU9gk:semantic_cosine_wp240_v1:21</x:v>
      </x:c>
      <x:c r="B56" s="38" t="str">
        <x:v>mit60001-q-030</x:v>
      </x:c>
      <x:c r="C56" s="38" t="str">
        <x:v>evaluated_37</x:v>
      </x:c>
      <x:c r="D56" s="38" t="str">
        <x:v>What role does self play when a method is called on an object?</x:v>
      </x:c>
      <x:c r="E56" s="38" t="str">
        <x:v>- self represents the particular instance on which a method operates.
- Instance attributes are referenced with self.attribute, and self is the first parameter of an instance method.</x:v>
      </x:c>
      <x:c r="F56" s="38" t="str">
        <x:v>candidate_v2_e2
current_control_e1</x:v>
      </x:c>
      <x:c r="G56" s="38" t="str">
        <x:v>True</x:v>
      </x:c>
      <x:c r="H56" s="38" t="str">
        <x:v>True</x:v>
      </x:c>
      <x:c r="I56" s="38" t="str">
        <x:v>-DP1i2ZU9gk:semantic_cosine_wp240_v1:21</x:v>
      </x:c>
      <x:c r="J56" s="38" t="str">
        <x:v>1</x:v>
      </x:c>
      <x:c r="K56" s="38" t="str">
        <x:v>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x:v>
      </x:c>
      <x:c r="L56" s="38" t="str">
        <x:v>https://www.youtube.com/watch?v=-DP1i2ZU9gk&amp;t=917s</x:v>
      </x:c>
      <x:c r="M56" s="38" t="str">
        <x:v>The candidate excerpt directly supports the answer that 'self' plays the role of a placeholder for any sort of instance when creating an object, and is used to refer to attributes and methods of an instance.</x:v>
      </x:c>
      <x:c r="N56" s="38" t="str">
        <x:v>The whole question is covered.</x:v>
      </x:c>
      <x:c r="O56" s="38" t="str">
        <x:v>baseline_m3_canonical</x:v>
      </x:c>
      <x:c r="P56" s="38" t="str">
        <x:v>supports</x:v>
      </x:c>
      <x:c r="Q56" s="38" t="str">
        <x:v>Directly says self represents a particular instance of the class.</x:v>
      </x:c>
      <x:c r="R56" s="38" t="str">
        <x:v>canonical_reuse</x:v>
      </x:c>
    </x:row>
    <x:row r="57" ht="74" customHeight="1">
      <x:c r="A57" s="38" t="str">
        <x:v>mit60001-q-030|-DP1i2ZU9gk:semantic_cosine_wp240_v1:22</x:v>
      </x:c>
      <x:c r="B57" s="38" t="str">
        <x:v>mit60001-q-030</x:v>
      </x:c>
      <x:c r="C57" s="38" t="str">
        <x:v>evaluated_37</x:v>
      </x:c>
      <x:c r="D57" s="38" t="str">
        <x:v>What role does self play when a method is called on an object?</x:v>
      </x:c>
      <x:c r="E57" s="38" t="str">
        <x:v>- self represents the particular instance on which a method operates.
- Instance attributes are referenced with self.attribute, and self is the first parameter of an instance method.</x:v>
      </x:c>
      <x:c r="F57" s="38" t="str">
        <x:v>candidate_v2_e2
current_control_e1</x:v>
      </x:c>
      <x:c r="G57" s="38" t="str">
        <x:v>True</x:v>
      </x:c>
      <x:c r="H57" s="38" t="str">
        <x:v>True</x:v>
      </x:c>
      <x:c r="I57" s="38" t="str">
        <x:v>-DP1i2ZU9gk:semantic_cosine_wp240_v1:22</x:v>
      </x:c>
      <x:c r="J57" s="38" t="str">
        <x:v>2</x:v>
      </x:c>
      <x:c r="K57" s="38"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c r="L57" s="38" t="str">
        <x:v>https://www.youtube.com/watch?v=-DP1i2ZU9gk&amp;t=954s</x:v>
      </x:c>
      <x:c r="M57" s="38" t="str">
        <x:v>The candidate excerpt directly supports the answer that 'self' plays the role of a placeholder for any sort of instance when creating an object, and is used to refer to attributes and methods of an instance.</x:v>
      </x:c>
      <x:c r="N57" s="38" t="str">
        <x:v>The whole question is covered.</x:v>
      </x:c>
      <x:c r="O57" s="38" t="str">
        <x:v>baseline_m3_canonical</x:v>
      </x:c>
      <x:c r="P57" s="38" t="str">
        <x:v>supports</x:v>
      </x:c>
      <x:c r="Q57" s="38" t="str">
        <x:v>Directly explains self as the first method parameter and self.attribute notation for instance attributes.</x:v>
      </x:c>
      <x:c r="R57" s="38" t="str">
        <x:v>canonical_reuse</x:v>
      </x:c>
    </x:row>
    <x:row r="58" ht="74" customHeight="1">
      <x:c r="A58" s="38" t="str">
        <x:v>mit60001-q-030|FlGjISF3l78:semantic_cosine_wp240_v1:5</x:v>
      </x:c>
      <x:c r="B58" s="38" t="str">
        <x:v>mit60001-q-030</x:v>
      </x:c>
      <x:c r="C58" s="38" t="str">
        <x:v>evaluated_37</x:v>
      </x:c>
      <x:c r="D58" s="38" t="str">
        <x:v>What role does self play when a method is called on an object?</x:v>
      </x:c>
      <x:c r="E58" s="38" t="str">
        <x:v>- self represents the particular instance on which a method operates.
- Instance attributes are referenced with self.attribute, and self is the first parameter of an instance method.</x:v>
      </x:c>
      <x:c r="F58" s="38" t="str">
        <x:v>candidate_v2_e2
current_control_e1</x:v>
      </x:c>
      <x:c r="G58" s="38" t="str">
        <x:v>True</x:v>
      </x:c>
      <x:c r="H58" s="38" t="str">
        <x:v>True</x:v>
      </x:c>
      <x:c r="I58" s="38" t="str">
        <x:v>FlGjISF3l78:semantic_cosine_wp240_v1:5</x:v>
      </x:c>
      <x:c r="J58" s="38" t="str">
        <x:v>3</x:v>
      </x:c>
      <x:c r="K58" s="38" t="str">
        <x:v>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x:v>
      </x:c>
      <x:c r="L58" s="38" t="str">
        <x:v>https://www.youtube.com/watch?v=FlGjISF3l78&amp;t=239s</x:v>
      </x:c>
      <x:c r="M58" s="38" t="str">
        <x:v>The candidate excerpt directly supports the answer that 'self' plays the role of a placeholder for any sort of instance when creating an object, and is used to refer to attributes and methods of an instance.</x:v>
      </x:c>
      <x:c r="N58" s="38" t="str">
        <x:v>The whole question is covered.</x:v>
      </x:c>
      <x:c r="O58" s="38" t="str">
        <x:v>baseline_m3_canonical</x:v>
      </x:c>
      <x:c r="P58" s="38" t="str">
        <x:v>supports</x:v>
      </x:c>
      <x:c r="Q58" s="38" t="str">
        <x:v>Directly explains using self to refer generically to instance data attributes and methods.</x:v>
      </x:c>
      <x:c r="R58" s="38" t="str">
        <x:v>canonical_reuse</x:v>
      </x:c>
    </x:row>
    <x:row r="59" ht="74" customHeight="1">
      <x:c r="A59" s="38" t="str">
        <x:v>mit60001-q-031|RvRKT-jXvko:semantic_cosine_wp240_v1:37</x:v>
      </x:c>
      <x:c r="B59" s="38" t="str">
        <x:v>mit60001-q-031</x:v>
      </x:c>
      <x:c r="C59" s="38" t="str">
        <x:v>evaluated_37</x:v>
      </x:c>
      <x:c r="D59" s="38" t="str">
        <x:v>What happens when a list is mutated through one of several aliases?</x:v>
      </x:c>
      <x:c r="E59" s="38" t="str">
        <x:v>- All aliases point to the same mutable list object in memory.
- Mutating the list through one alias changes that shared object, so the changed value is visible through every alias.</x:v>
      </x:c>
      <x:c r="F59" s="38" t="str">
        <x:v>candidate_v2_e2</x:v>
      </x:c>
      <x:c r="G59" s="38" t="str">
        <x:v>False</x:v>
      </x:c>
      <x:c r="H59" s="38" t="str">
        <x:v>True</x:v>
      </x:c>
      <x:c r="I59" s="38" t="str">
        <x:v>RvRKT-jXvko:semantic_cosine_wp240_v1:37</x:v>
      </x:c>
      <x:c r="J59" s="38" t="str">
        <x:v>2</x:v>
      </x:c>
      <x:c r="K59" s="38"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c r="L59" s="38" t="str">
        <x:v>https://www.youtube.com/watch?v=RvRKT-jXvko&amp;t=1583s</x:v>
      </x:c>
      <x:c r="M59" s="38" t="str"/>
      <x:c r="N59" s="38" t="str">
        <x:v>The evidence supports the requested behavior of lists being mutated through aliases.</x:v>
      </x:c>
      <x:c r="O59" s="38" t="str"/>
      <x:c r="P59" s="38" t="str"/>
      <x:c r="Q59" s="38" t="str"/>
      <x:c r="R59" s="38" t="str">
        <x:v>pending</x:v>
      </x:c>
    </x:row>
    <x:row r="60" ht="74" customHeight="1">
      <x:c r="A60" s="38" t="str">
        <x:v>mit60001-q-031|RvRKT-jXvko:semantic_cosine_wp240_v1:47</x:v>
      </x:c>
      <x:c r="B60" s="38" t="str">
        <x:v>mit60001-q-031</x:v>
      </x:c>
      <x:c r="C60" s="38" t="str">
        <x:v>evaluated_37</x:v>
      </x:c>
      <x:c r="D60" s="38" t="str">
        <x:v>What happens when a list is mutated through one of several aliases?</x:v>
      </x:c>
      <x:c r="E60" s="38" t="str">
        <x:v>- All aliases point to the same mutable list object in memory.
- Mutating the list through one alias changes that shared object, so the changed value is visible through every alias.</x:v>
      </x:c>
      <x:c r="F60" s="38" t="str">
        <x:v>current_control_e1</x:v>
      </x:c>
      <x:c r="G60" s="38" t="str">
        <x:v>True</x:v>
      </x:c>
      <x:c r="H60" s="38" t="str">
        <x:v>False</x:v>
      </x:c>
      <x:c r="I60" s="38" t="str">
        <x:v>RvRKT-jXvko:semantic_cosine_wp240_v1:47</x:v>
      </x:c>
      <x:c r="J60" s="38" t="str">
        <x:v>1</x:v>
      </x:c>
      <x:c r="K60" s="38"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L60" s="38" t="str">
        <x:v>https://www.youtube.com/watch?v=RvRKT-jXvko&amp;t=1995s</x:v>
      </x:c>
      <x:c r="M60" s="38" t="str">
        <x:v>The candidate excerpt directly supports the answer that when a list is mutated through one of several aliases, all the aliases will refer to the same person object with the changed attributes.</x:v>
      </x:c>
      <x:c r="N60" s="38" t="str"/>
      <x:c r="O60" s="38" t="str">
        <x:v>baseline_m3_canonical</x:v>
      </x:c>
      <x:c r="P60" s="38" t="str">
        <x:v>supports</x:v>
      </x:c>
      <x:c r="Q60" s="38" t="str">
        <x:v>Directly explains aliases referring to the same mutable object and all aliases seeing the changed object.</x:v>
      </x:c>
      <x:c r="R60" s="38" t="str">
        <x:v>canonical_reuse</x:v>
      </x:c>
    </x:row>
    <x:row r="61" ht="74" customHeight="1">
      <x:c r="A61" s="38" t="str">
        <x:v>mit60001-q-031|RvRKT-jXvko:semantic_cosine_wp240_v1:49</x:v>
      </x:c>
      <x:c r="B61" s="38" t="str">
        <x:v>mit60001-q-031</x:v>
      </x:c>
      <x:c r="C61" s="38" t="str">
        <x:v>evaluated_37</x:v>
      </x:c>
      <x:c r="D61" s="38" t="str">
        <x:v>What happens when a list is mutated through one of several aliases?</x:v>
      </x:c>
      <x:c r="E61" s="38" t="str">
        <x:v>- All aliases point to the same mutable list object in memory.
- Mutating the list through one alias changes that shared object, so the changed value is visible through every alias.</x:v>
      </x:c>
      <x:c r="F61" s="38" t="str">
        <x:v>candidate_v2_e2</x:v>
      </x:c>
      <x:c r="G61" s="38" t="str">
        <x:v>False</x:v>
      </x:c>
      <x:c r="H61" s="38" t="str">
        <x:v>True</x:v>
      </x:c>
      <x:c r="I61" s="38" t="str">
        <x:v>RvRKT-jXvko:semantic_cosine_wp240_v1:49</x:v>
      </x:c>
      <x:c r="J61" s="38" t="str">
        <x:v>3</x:v>
      </x:c>
      <x:c r="K61" s="38" t="str">
        <x:v>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L61" s="38" t="str">
        <x:v>https://www.youtube.com/watch?v=RvRKT-jXvko&amp;t=2061s</x:v>
      </x:c>
      <x:c r="M61" s="38" t="str"/>
      <x:c r="N61" s="38" t="str">
        <x:v>The evidence supports the requested behavior of lists being mutated through aliases.</x:v>
      </x:c>
      <x:c r="O61" s="38" t="str"/>
      <x:c r="P61" s="38" t="str"/>
      <x:c r="Q61" s="38" t="str"/>
      <x:c r="R61" s="38" t="str">
        <x:v>pending</x:v>
      </x:c>
    </x:row>
    <x:row r="62" ht="74" customHeight="1">
      <x:c r="A62" s="38" t="str">
        <x:v>mit60001-q-033|MjbuarJ7SE0:semantic_cosine_wp240_v1:13</x:v>
      </x:c>
      <x:c r="B62" s="38" t="str">
        <x:v>mit60001-q-033</x:v>
      </x:c>
      <x:c r="C62" s="38" t="str">
        <x:v>evaluated_37</x:v>
      </x:c>
      <x:c r="D62" s="38" t="str">
        <x:v>How does the course connect decomposition and abstraction when building programs with functions?</x:v>
      </x:c>
      <x:c r="E62" s="38"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F62" s="38" t="str">
        <x:v>candidate_v2_e2
current_control_e1</x:v>
      </x:c>
      <x:c r="G62" s="38" t="str">
        <x:v>True</x:v>
      </x:c>
      <x:c r="H62" s="38" t="str">
        <x:v>True</x:v>
      </x:c>
      <x:c r="I62" s="38" t="str">
        <x:v>MjbuarJ7SE0:semantic_cosine_wp240_v1:13</x:v>
      </x:c>
      <x:c r="J62" s="38" t="str">
        <x:v>2</x:v>
      </x:c>
      <x:c r="K62" s="38"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L62" s="38" t="str">
        <x:v>https://www.youtube.com/watch?v=MjbuarJ7SE0&amp;t=548s</x:v>
      </x:c>
      <x:c r="M62" s="38" t="str">
        <x:v>The candidate excerpt at rank 2 directly supports the answer by explaining that abstraction is the idea of suppressing details, and in programming, it means you don't need to know exactly how a function works in order to use it.</x:v>
      </x:c>
      <x:c r="N62" s="38" t="str">
        <x:v>The evidence supports both sides of the question and provides direct support for the requested contrast.</x:v>
      </x:c>
      <x:c r="O62" s="38" t="str">
        <x:v>baseline_m3_canonical</x:v>
      </x:c>
      <x:c r="P62" s="38" t="str">
        <x:v>supports</x:v>
      </x:c>
      <x:c r="Q62" s="38" t="str">
        <x:v>Directly defines decomposition as code structure and abstraction as suppressing details, with functions/docstrings enabling reuse.</x:v>
      </x:c>
      <x:c r="R62" s="38" t="str">
        <x:v>canonical_reuse</x:v>
      </x:c>
    </x:row>
    <x:row r="63" ht="74" customHeight="1">
      <x:c r="A63" s="38" t="str">
        <x:v>mit60001-q-033|MjbuarJ7SE0:semantic_cosine_wp240_v1:54</x:v>
      </x:c>
      <x:c r="B63" s="38" t="str">
        <x:v>mit60001-q-033</x:v>
      </x:c>
      <x:c r="C63" s="38" t="str">
        <x:v>evaluated_37</x:v>
      </x:c>
      <x:c r="D63" s="38" t="str">
        <x:v>How does the course connect decomposition and abstraction when building programs with functions?</x:v>
      </x:c>
      <x:c r="E63" s="38"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F63" s="38" t="str">
        <x:v>candidate_v2_e2</x:v>
      </x:c>
      <x:c r="G63" s="38" t="str">
        <x:v>False</x:v>
      </x:c>
      <x:c r="H63" s="38" t="str">
        <x:v>True</x:v>
      </x:c>
      <x:c r="I63" s="38" t="str">
        <x:v>MjbuarJ7SE0:semantic_cosine_wp240_v1:54</x:v>
      </x:c>
      <x:c r="J63" s="38" t="str">
        <x:v>3</x:v>
      </x:c>
      <x:c r="K63"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L63" s="38" t="str">
        <x:v>https://www.youtube.com/watch?v=MjbuarJ7SE0&amp;t=2418s</x:v>
      </x:c>
      <x:c r="M63" s="38" t="str"/>
      <x:c r="N63" s="38" t="str">
        <x:v>The evidence supports both sides of the question and provides direct support for the requested contrast.</x:v>
      </x:c>
      <x:c r="O63" s="38" t="str"/>
      <x:c r="P63" s="38" t="str"/>
      <x:c r="Q63" s="38" t="str"/>
      <x:c r="R63" s="38" t="str">
        <x:v>pending</x:v>
      </x:c>
    </x:row>
    <x:row r="64" ht="74" customHeight="1">
      <x:c r="A64" s="38" t="str">
        <x:v>mit60001-q-034|9H6muyZjms0:semantic_cosine_wp240_v1:25</x:v>
      </x:c>
      <x:c r="B64" s="38" t="str">
        <x:v>mit60001-q-034</x:v>
      </x:c>
      <x:c r="C64" s="38" t="str">
        <x:v>evaluated_37</x:v>
      </x:c>
      <x:c r="D64" s="38" t="str">
        <x:v>How does the course connect testing and debugging when finding program errors?</x:v>
      </x:c>
      <x:c r="E64" s="38" t="str">
        <x:v>- Testing uses expected and actual results to identify what is wrong.
- Debugging then determines how or why the bad result occurred and pinpoints the responsible line, lines, or function.</x:v>
      </x:c>
      <x:c r="F64" s="38" t="str">
        <x:v>candidate_v2_e2
current_control_e1</x:v>
      </x:c>
      <x:c r="G64" s="38" t="str">
        <x:v>True</x:v>
      </x:c>
      <x:c r="H64" s="38" t="str">
        <x:v>True</x:v>
      </x:c>
      <x:c r="I64" s="38" t="str">
        <x:v>9H6muyZjms0:semantic_cosine_wp240_v1:25</x:v>
      </x:c>
      <x:c r="J64" s="38" t="str">
        <x:v>2</x:v>
      </x:c>
      <x:c r="K64" s="38"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c r="L64" s="38" t="str">
        <x:v>https://www.youtube.com/watch?v=9H6muyZjms0&amp;t=1035s</x:v>
      </x:c>
      <x:c r="M64" s="38" t="str">
        <x:v>The candidate excerpt directly supports the answer by explaining how the course connects testing and debugging when finding program errors, stating that the debugging process is figuring out how the result took place and using the scientific method to study test cases and come up with hypotheses.</x:v>
      </x:c>
      <x:c r="N64" s="38" t="str">
        <x:v>The evidence supports the connection between testing and debugging when finding program errors.</x:v>
      </x:c>
      <x:c r="O64" s="38" t="str">
        <x:v>baseline_m3_canonical</x:v>
      </x:c>
      <x:c r="P64" s="38" t="str">
        <x:v>supports</x:v>
      </x:c>
      <x:c r="Q64" s="38" t="str">
        <x:v>Directly separates testing (what is wrong) from debugging (how the result occurred) and describes hypothesis-driven debugging.</x:v>
      </x:c>
      <x:c r="R64" s="38" t="str">
        <x:v>canonical_reuse</x:v>
      </x:c>
    </x:row>
    <x:row r="65" ht="74" customHeight="1">
      <x:c r="A65" s="38" t="str">
        <x:v>mit60001-q-034|9H6muyZjms0:semantic_cosine_wp240_v1:31</x:v>
      </x:c>
      <x:c r="B65" s="38" t="str">
        <x:v>mit60001-q-034</x:v>
      </x:c>
      <x:c r="C65" s="38" t="str">
        <x:v>evaluated_37</x:v>
      </x:c>
      <x:c r="D65" s="38" t="str">
        <x:v>How does the course connect testing and debugging when finding program errors?</x:v>
      </x:c>
      <x:c r="E65" s="38" t="str">
        <x:v>- Testing uses expected and actual results to identify what is wrong.
- Debugging then determines how or why the bad result occurred and pinpoints the responsible line, lines, or function.</x:v>
      </x:c>
      <x:c r="F65" s="38" t="str">
        <x:v>candidate_v2_e2</x:v>
      </x:c>
      <x:c r="G65" s="38" t="str">
        <x:v>False</x:v>
      </x:c>
      <x:c r="H65" s="38" t="str">
        <x:v>True</x:v>
      </x:c>
      <x:c r="I65" s="38" t="str">
        <x:v>9H6muyZjms0:semantic_cosine_wp240_v1:31</x:v>
      </x:c>
      <x:c r="J65" s="38" t="str">
        <x:v>1</x:v>
      </x:c>
      <x:c r="K65" s="38"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L65" s="38" t="str">
        <x:v>https://www.youtube.com/watch?v=9H6muyZjms0&amp;t=1286s</x:v>
      </x:c>
      <x:c r="M65" s="38" t="str"/>
      <x:c r="N65" s="38" t="str">
        <x:v>The evidence supports the connection between testing and debugging when finding program errors.</x:v>
      </x:c>
      <x:c r="O65" s="38" t="str"/>
      <x:c r="P65" s="38" t="str"/>
      <x:c r="Q65" s="38" t="str"/>
      <x:c r="R65" s="38" t="str">
        <x:v>pending</x:v>
      </x:c>
    </x:row>
    <x:row r="66" ht="74" customHeight="1">
      <x:c r="A66" s="38" t="str">
        <x:v>mit60001-q-035|RvRKT-jXvko:semantic_cosine_wp240_v1:47</x:v>
      </x:c>
      <x:c r="B66" s="38" t="str">
        <x:v>mit60001-q-035</x:v>
      </x:c>
      <x:c r="C66" s="38" t="str">
        <x:v>evaluated_37</x:v>
      </x:c>
      <x:c r="D66" s="38" t="str">
        <x:v>How does the course connect list aliasing with mutation side effects?</x:v>
      </x:c>
      <x:c r="E66" s="38" t="str">
        <x:v>- Aliasing means two names can point to the same list object.
- Because the list is mutable, a change made through one alias changes the shared object and appears through the other alias.
- This shared visible change is a mutation side effect.</x:v>
      </x:c>
      <x:c r="F66" s="38" t="str">
        <x:v>candidate_v2_e2</x:v>
      </x:c>
      <x:c r="G66" s="38" t="str">
        <x:v>False</x:v>
      </x:c>
      <x:c r="H66" s="38" t="str">
        <x:v>True</x:v>
      </x:c>
      <x:c r="I66" s="38" t="str">
        <x:v>RvRKT-jXvko:semantic_cosine_wp240_v1:47</x:v>
      </x:c>
      <x:c r="J66" s="38" t="str">
        <x:v>1</x:v>
      </x:c>
      <x:c r="K66" s="38"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L66" s="38" t="str">
        <x:v>https://www.youtube.com/watch?v=RvRKT-jXvko&amp;t=1995s</x:v>
      </x:c>
      <x:c r="M66" s="38" t="str"/>
      <x:c r="N66" s="38" t="str">
        <x:v>The evidence supports both sides of the question and provides direct support for the requested mechanism.</x:v>
      </x:c>
      <x:c r="O66" s="38" t="str"/>
      <x:c r="P66" s="38" t="str"/>
      <x:c r="Q66" s="38" t="str"/>
      <x:c r="R66" s="38" t="str">
        <x:v>pending</x:v>
      </x:c>
    </x:row>
    <x:row r="67" ht="74" customHeight="1">
      <x:c r="A67" s="38" t="str">
        <x:v>mit60001-q-035|WPSeyjX1-4s:semantic_cosine_wp240_v1:1</x:v>
      </x:c>
      <x:c r="B67" s="38" t="str">
        <x:v>mit60001-q-035</x:v>
      </x:c>
      <x:c r="C67" s="38" t="str">
        <x:v>evaluated_37</x:v>
      </x:c>
      <x:c r="D67" s="38" t="str">
        <x:v>How does the course connect list aliasing with mutation side effects?</x:v>
      </x:c>
      <x:c r="E67" s="38" t="str">
        <x:v>- Aliasing means two names can point to the same list object.
- Because the list is mutable, a change made through one alias changes the shared object and appears through the other alias.
- This shared visible change is a mutation side effect.</x:v>
      </x:c>
      <x:c r="F67" s="38" t="str">
        <x:v>candidate_v2_e2
current_control_e1</x:v>
      </x:c>
      <x:c r="G67" s="38" t="str">
        <x:v>True</x:v>
      </x:c>
      <x:c r="H67" s="38" t="str">
        <x:v>True</x:v>
      </x:c>
      <x:c r="I67" s="38" t="str">
        <x:v>WPSeyjX1-4s:semantic_cosine_wp240_v1:1</x:v>
      </x:c>
      <x:c r="J67" s="38" t="str">
        <x:v>2</x:v>
      </x:c>
      <x:c r="K67" s="38"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L67" s="38" t="str">
        <x:v>https://www.youtube.com/watch?v=WPSeyjX1-4s&amp;t=53s</x:v>
      </x:c>
      <x:c r="M67" s="38" t="str">
        <x:v>The candidate excerpt at rank 2 directly supports the answer by explaining how lists are mutable and can lead to aliasing, where two names point to the same list structure, and changing the contents of one list affects the appearance of the other.</x:v>
      </x:c>
      <x:c r="N67" s="38" t="str">
        <x:v>The evidence supports both sides of the question and provides direct support for the requested mechanism.</x:v>
      </x:c>
      <x:c r="O67" s="38" t="str">
        <x:v>baseline_m3_canonical</x:v>
      </x:c>
      <x:c r="P67" s="38" t="str">
        <x:v>supports</x:v>
      </x:c>
      <x:c r="Q67" s="38" t="str">
        <x:v>Directly explains list mutability, aliasing, shared changes, and the resulting side effects.</x:v>
      </x:c>
      <x:c r="R67" s="38" t="str">
        <x:v>canonical_reuse</x:v>
      </x:c>
    </x:row>
    <x:row r="68" ht="74" customHeight="1">
      <x:c r="A68" s="38" t="str">
        <x:v>mit60001-q-038|6LOwPhPDwVc:semantic_cosine_wp240_v1:14</x:v>
      </x:c>
      <x:c r="B68" s="38" t="str">
        <x:v>mit60001-q-038</x:v>
      </x:c>
      <x:c r="C68" s="38" t="str">
        <x:v>evaluated_37</x:v>
      </x:c>
      <x:c r="D68" s="38" t="str">
        <x:v>How does the requirement for sorted input distinguish binary search from linear search?</x:v>
      </x:c>
      <x:c r="E68" s="38" t="str">
        <x:v>- Bisection search requires the list to be sorted, and the ordering lets it cut down the size of the remaining search problem.
- Linear search does not require sorted input and may scan through the list until it finds the target or reaches the end.</x:v>
      </x:c>
      <x:c r="F68" s="38" t="str">
        <x:v>candidate_v2_e2
current_control_e1</x:v>
      </x:c>
      <x:c r="G68" s="38" t="str">
        <x:v>True</x:v>
      </x:c>
      <x:c r="H68" s="38" t="str">
        <x:v>True</x:v>
      </x:c>
      <x:c r="I68" s="38" t="str">
        <x:v>6LOwPhPDwVc:semantic_cosine_wp240_v1:14</x:v>
      </x:c>
      <x:c r="J68" s="38" t="str">
        <x:v>1</x:v>
      </x:c>
      <x:c r="K68" s="38"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c r="L68" s="38" t="str">
        <x:v>https://www.youtube.com/watch?v=6LOwPhPDwVc&amp;t=477s</x:v>
      </x:c>
      <x:c r="M68" s="38" t="str">
        <x:v>The candidate excerpt directly supports the answer by stating that the requirement for sorted input distinguishes binary search from linear search, as binary search can be done in log time, whereas linear search has a linear time complexity.</x:v>
      </x:c>
      <x:c r="N68" s="38" t="str">
        <x:v>The evidence supports both sides of the question and the requested contrast between binary search and linear search.</x:v>
      </x:c>
      <x:c r="O68" s="38" t="str">
        <x:v>baseline_m3_canonical</x:v>
      </x:c>
      <x:c r="P68" s="38" t="str">
        <x:v>supports</x:v>
      </x:c>
      <x:c r="Q68" s="38" t="str">
        <x:v>States that binary/bisection search assumes sorted input and contrasts its logarithmic search with linear search; this is valid semantic support despite no GT time overlap.</x:v>
      </x:c>
      <x:c r="R68" s="38" t="str">
        <x:v>canonical_reuse</x:v>
      </x:c>
    </x:row>
    <x:row r="69" ht="74" customHeight="1">
      <x:c r="A69" s="38" t="str">
        <x:v>mit60001-q-038|7lQXYl_L28w:semantic_cosine_wp240_v1:13</x:v>
      </x:c>
      <x:c r="B69" s="38" t="str">
        <x:v>mit60001-q-038</x:v>
      </x:c>
      <x:c r="C69" s="38" t="str">
        <x:v>evaluated_37</x:v>
      </x:c>
      <x:c r="D69" s="38" t="str">
        <x:v>How does the requirement for sorted input distinguish binary search from linear search?</x:v>
      </x:c>
      <x:c r="E69" s="38" t="str">
        <x:v>- Bisection search requires the list to be sorted, and the ordering lets it cut down the size of the remaining search problem.
- Linear search does not require sorted input and may scan through the list until it finds the target or reaches the end.</x:v>
      </x:c>
      <x:c r="F69" s="38" t="str">
        <x:v>candidate_v2_e2</x:v>
      </x:c>
      <x:c r="G69" s="38" t="str">
        <x:v>False</x:v>
      </x:c>
      <x:c r="H69" s="38" t="str">
        <x:v>True</x:v>
      </x:c>
      <x:c r="I69" s="38" t="str">
        <x:v>7lQXYl_L28w:semantic_cosine_wp240_v1:13</x:v>
      </x:c>
      <x:c r="J69" s="38" t="str">
        <x:v>3</x:v>
      </x:c>
      <x:c r="K69"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L69" s="38" t="str">
        <x:v>https://www.youtube.com/watch?v=7lQXYl_L28w&amp;t=478s</x:v>
      </x:c>
      <x:c r="M69" s="38" t="str"/>
      <x:c r="N69" s="38" t="str">
        <x:v>The evidence supports both sides of the question and the requested contrast between binary search and linear search.</x:v>
      </x:c>
      <x:c r="O69" s="38" t="str"/>
      <x:c r="P69" s="38" t="str"/>
      <x:c r="Q69" s="38" t="str"/>
      <x:c r="R69" s="38" t="str">
        <x:v>pending</x:v>
      </x:c>
    </x:row>
    <x:row r="70" ht="74" customHeight="1">
      <x:c r="A70" s="38" t="str">
        <x:v>mit60001-q-038|o9nW0uBqvEo:semantic_cosine_wp240_v1:70</x:v>
      </x:c>
      <x:c r="B70" s="38" t="str">
        <x:v>mit60001-q-038</x:v>
      </x:c>
      <x:c r="C70" s="38" t="str">
        <x:v>evaluated_37</x:v>
      </x:c>
      <x:c r="D70" s="38" t="str">
        <x:v>How does the requirement for sorted input distinguish binary search from linear search?</x:v>
      </x:c>
      <x:c r="E70" s="38" t="str">
        <x:v>- Bisection search requires the list to be sorted, and the ordering lets it cut down the size of the remaining search problem.
- Linear search does not require sorted input and may scan through the list until it finds the target or reaches the end.</x:v>
      </x:c>
      <x:c r="F70" s="38" t="str">
        <x:v>candidate_v2_e2</x:v>
      </x:c>
      <x:c r="G70" s="38" t="str">
        <x:v>False</x:v>
      </x:c>
      <x:c r="H70" s="38" t="str">
        <x:v>True</x:v>
      </x:c>
      <x:c r="I70" s="38" t="str">
        <x:v>o9nW0uBqvEo:semantic_cosine_wp240_v1:70</x:v>
      </x:c>
      <x:c r="J70" s="38" t="str">
        <x:v>2</x:v>
      </x:c>
      <x:c r="K70" s="38"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c r="L70" s="38" t="str">
        <x:v>https://www.youtube.com/watch?v=o9nW0uBqvEo&amp;t=2689s</x:v>
      </x:c>
      <x:c r="M70" s="38" t="str"/>
      <x:c r="N70" s="38" t="str">
        <x:v>The evidence supports both sides of the question and the requested contrast between binary search and linear search.</x:v>
      </x:c>
      <x:c r="O70" s="38" t="str"/>
      <x:c r="P70" s="38" t="str"/>
      <x:c r="Q70" s="38" t="str"/>
      <x:c r="R70" s="38" t="str">
        <x:v>pending</x:v>
      </x:c>
    </x:row>
    <x:row r="71" ht="74" customHeight="1">
      <x:c r="A71" s="38" t="str">
        <x:v>mit60001-q-039|9H6muyZjms0:semantic_cosine_wp240_v1:13</x:v>
      </x:c>
      <x:c r="B71" s="38" t="str">
        <x:v>mit60001-q-039</x:v>
      </x:c>
      <x:c r="C71" s="38" t="str">
        <x:v>evaluated_37</x:v>
      </x:c>
      <x:c r="D71" s="38" t="str">
        <x:v>How does the course distinguish black-box testing from glass-box testing?</x:v>
      </x:c>
      <x:c r="E71" s="38" t="str">
        <x:v>- Black-box testing creates tests from the specification or docstring without using the implementation code.
- Glass-box testing uses the code itself to design tests that exercise its possible execution paths.</x:v>
      </x:c>
      <x:c r="F71" s="38" t="str">
        <x:v>candidate_v2_e2
current_control_e1</x:v>
      </x:c>
      <x:c r="G71" s="38" t="str">
        <x:v>True</x:v>
      </x:c>
      <x:c r="H71" s="38" t="str">
        <x:v>True</x:v>
      </x:c>
      <x:c r="I71" s="38" t="str">
        <x:v>9H6muyZjms0:semantic_cosine_wp240_v1:13</x:v>
      </x:c>
      <x:c r="J71" s="38" t="str">
        <x:v>2</x:v>
      </x:c>
      <x:c r="K71" s="38"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c r="L71" s="38" t="str">
        <x:v>https://www.youtube.com/watch?v=9H6muyZjms0&amp;t=511s</x:v>
      </x:c>
      <x:c r="M71" s="38"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c r="N71" s="38" t="str">
        <x:v>The evidence supports the distinction between black-box testing and glass-box testing, covering the key aspects of each approach.</x:v>
      </x:c>
      <x:c r="O71" s="38" t="str">
        <x:v>baseline_m3_canonical</x:v>
      </x:c>
      <x:c r="P71" s="38" t="str">
        <x:v>supports</x:v>
      </x:c>
      <x:c r="Q71" s="38" t="str">
        <x:v>Directly contrasts black-box testing from specifications/docstrings with glass-box testing from code paths.</x:v>
      </x:c>
      <x:c r="R71" s="38" t="str">
        <x:v>canonical_reuse</x:v>
      </x:c>
    </x:row>
    <x:row r="72" ht="74" customHeight="1">
      <x:c r="A72" s="38" t="str">
        <x:v>mit60001-q-039|9H6muyZjms0:semantic_cosine_wp240_v1:15</x:v>
      </x:c>
      <x:c r="B72" s="38" t="str">
        <x:v>mit60001-q-039</x:v>
      </x:c>
      <x:c r="C72" s="38" t="str">
        <x:v>evaluated_37</x:v>
      </x:c>
      <x:c r="D72" s="38" t="str">
        <x:v>How does the course distinguish black-box testing from glass-box testing?</x:v>
      </x:c>
      <x:c r="E72" s="38" t="str">
        <x:v>- Black-box testing creates tests from the specification or docstring without using the implementation code.
- Glass-box testing uses the code itself to design tests that exercise its possible execution paths.</x:v>
      </x:c>
      <x:c r="F72" s="38" t="str">
        <x:v>candidate_v2_e2
current_control_e1</x:v>
      </x:c>
      <x:c r="G72" s="38" t="str">
        <x:v>True</x:v>
      </x:c>
      <x:c r="H72" s="38" t="str">
        <x:v>True</x:v>
      </x:c>
      <x:c r="I72" s="38" t="str">
        <x:v>9H6muyZjms0:semantic_cosine_wp240_v1:15</x:v>
      </x:c>
      <x:c r="J72" s="38" t="str">
        <x:v>1</x:v>
      </x:c>
      <x:c r="K72" s="38"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c r="L72" s="38" t="str">
        <x:v>https://www.youtube.com/watch?v=9H6muyZjms0&amp;t=607s</x:v>
      </x:c>
      <x:c r="M72" s="38"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c r="N72" s="38" t="str">
        <x:v>The evidence supports the distinction between black-box testing and glass-box testing, covering the key aspects of each approach.</x:v>
      </x:c>
      <x:c r="O72" s="38" t="str">
        <x:v>baseline_m3_canonical</x:v>
      </x:c>
      <x:c r="P72" s="38" t="str">
        <x:v>supports</x:v>
      </x:c>
      <x:c r="Q72" s="38" t="str">
        <x:v>Directly states that black-box tests use specifications only while glass-box tests use code to guide test cases.</x:v>
      </x:c>
      <x:c r="R72" s="38" t="str">
        <x:v>canonical_reuse</x:v>
      </x:c>
    </x:row>
    <x:row r="73" ht="74" customHeight="1">
      <x:c r="A73" s="38" t="str">
        <x:v>mit60001-q-039|9H6muyZjms0:semantic_cosine_wp240_v1:17</x:v>
      </x:c>
      <x:c r="B73" s="38" t="str">
        <x:v>mit60001-q-039</x:v>
      </x:c>
      <x:c r="C73" s="38" t="str">
        <x:v>evaluated_37</x:v>
      </x:c>
      <x:c r="D73" s="38" t="str">
        <x:v>How does the course distinguish black-box testing from glass-box testing?</x:v>
      </x:c>
      <x:c r="E73" s="38" t="str">
        <x:v>- Black-box testing creates tests from the specification or docstring without using the implementation code.
- Glass-box testing uses the code itself to design tests that exercise its possible execution paths.</x:v>
      </x:c>
      <x:c r="F73" s="38" t="str">
        <x:v>candidate_v2_e2</x:v>
      </x:c>
      <x:c r="G73" s="38" t="str">
        <x:v>False</x:v>
      </x:c>
      <x:c r="H73" s="38" t="str">
        <x:v>True</x:v>
      </x:c>
      <x:c r="I73" s="38" t="str">
        <x:v>9H6muyZjms0:semantic_cosine_wp240_v1:17</x:v>
      </x:c>
      <x:c r="J73" s="38" t="str">
        <x:v>3</x:v>
      </x:c>
      <x:c r="K73" s="38" t="str">
        <x:v>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x:v>
      </x:c>
      <x:c r="L73" s="38" t="str">
        <x:v>https://www.youtube.com/watch?v=9H6muyZjms0&amp;t=704s</x:v>
      </x:c>
      <x:c r="M73" s="38" t="str"/>
      <x:c r="N73" s="38" t="str">
        <x:v>The evidence supports the distinction between black-box testing and glass-box testing, covering the key aspects of each approach.</x:v>
      </x:c>
      <x:c r="O73" s="38" t="str"/>
      <x:c r="P73" s="38" t="str"/>
      <x:c r="Q73" s="38" t="str"/>
      <x:c r="R73" s="38" t="str">
        <x:v>pending</x:v>
      </x:c>
    </x:row>
    <x:row r="74" ht="74" customHeight="1">
      <x:c r="A74" s="38" t="str">
        <x:v>mit60001-q-040|9H6muyZjms0:semantic_cosine_wp240_v1:51</x:v>
      </x:c>
      <x:c r="B74" s="38" t="str">
        <x:v>mit60001-q-040</x:v>
      </x:c>
      <x:c r="C74" s="38" t="str">
        <x:v>evaluated_37</x:v>
      </x:c>
      <x:c r="D74" s="38" t="str">
        <x:v>How does the course distinguish an exception from an assertion failure?</x:v>
      </x:c>
      <x:c r="E74" s="38" t="str">
        <x:v>- Exceptions are appropriate for signaling or handling bad data supplied by a user.
- Assertions check programmer assumptions such as input types and other function conditions, helping expose bugs early.</x:v>
      </x:c>
      <x:c r="F74" s="38" t="str">
        <x:v>candidate_v2_e2
current_control_e1</x:v>
      </x:c>
      <x:c r="G74" s="38" t="str">
        <x:v>True</x:v>
      </x:c>
      <x:c r="H74" s="38" t="str">
        <x:v>True</x:v>
      </x:c>
      <x:c r="I74" s="38" t="str">
        <x:v>9H6muyZjms0:semantic_cosine_wp240_v1:51</x:v>
      </x:c>
      <x:c r="J74" s="38" t="str">
        <x:v>1</x:v>
      </x:c>
      <x:c r="K74" s="38"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c r="L74" s="38" t="str">
        <x:v>https://www.youtube.com/watch?v=9H6muyZjms0&amp;t=2375s</x:v>
      </x:c>
      <x:c r="M74" s="38" t="str">
        <x:v>The candidate excerpt directly supports the answer by explaining that assertions are used to make sure assumptions on computations are exactly what the function expects them to be, and that if an assertion becomes false, the function immediately terminates.</x:v>
      </x:c>
      <x:c r="N74" s="38" t="str">
        <x:v>The evidence supports the distinction between exception and assertion failure. The selected chunk IDs are: [9H6muyZjms0:semantic_cosine_wp240_v1:51]</x:v>
      </x:c>
      <x:c r="O74" s="38" t="str">
        <x:v>baseline_m3_canonical</x:v>
      </x:c>
      <x:c r="P74" s="38" t="str">
        <x:v>does_not_support</x:v>
      </x:c>
      <x:c r="Q74" s="38" t="str">
        <x:v>Explains assertion behavior and programmer pre/postconditions, but does not provide the exception/user-bad-data side needed to distinguish exceptions from assertion failures.</x:v>
      </x:c>
      <x:c r="R74" s="38" t="str">
        <x:v>canonical_reuse</x:v>
      </x:c>
    </x:row>
  </x:sheetData>
  <x:pageMargins left="0.7" right="0.7" top="0.75" bottom="0.75" header="0.3" footer="0.3"/>
  <x:tableParts count="1">
    <x:tablePart xmlns:r="http://schemas.openxmlformats.org/officeDocument/2006/relationships" r:id="Ra3e02159a9f74dfa"/>
  </x:tableParts>
</x:worksheet>
</file>