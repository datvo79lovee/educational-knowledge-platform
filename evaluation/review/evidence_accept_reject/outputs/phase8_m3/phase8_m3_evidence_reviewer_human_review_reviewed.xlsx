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6c96bec14c4ad1" /></Relationships>
</file>

<file path=xl/workbook.xml><?xml version="1.0" encoding="utf-8"?>
<x:workbook xmlns:x="http://schemas.openxmlformats.org/spreadsheetml/2006/main">
  <x:sheets>
    <x:sheet xmlns:r="http://schemas.openxmlformats.org/officeDocument/2006/relationships" name="Instructions" sheetId="1" r:id="R41c0e35e72154c22"/>
    <x:sheet xmlns:r="http://schemas.openxmlformats.org/officeDocument/2006/relationships" name="Summary" sheetId="2" r:id="R6f556432844b4705"/>
    <x:sheet xmlns:r="http://schemas.openxmlformats.org/officeDocument/2006/relationships" name="Strict Decisions" sheetId="3" r:id="R09e510e5241f4b0f"/>
    <x:sheet xmlns:r="http://schemas.openxmlformats.org/officeDocument/2006/relationships" name="Human Review 12" sheetId="4" r:id="Rbca4c89110ad4e3a"/>
    <x:sheet xmlns:r="http://schemas.openxmlformats.org/officeDocument/2006/relationships" name="Evidence Audit" sheetId="5" r:id="R7a29f2227807484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6"/>
      <x:color rgb="FFFFFFFF"/>
      <x:name val="Carlito"/>
    </x:font>
    <x:font>
      <x:b/>
      <x:sz val="11"/>
      <x:color rgb="FF17324D"/>
      <x:name val="Carlito"/>
    </x:font>
    <x:font>
      <x:b/>
      <x:sz val="11"/>
      <x:color rgb="FFFFFFFF"/>
      <x:name val="Carlito"/>
    </x:font>
    <x:font>
      <x:b/>
      <x:sz val="16"/>
      <x:color rgb="FF17324D"/>
      <x:name val="Carlito"/>
    </x:font>
    <x:font>
      <x:b/>
      <x:sz val="11"/>
      <x:color rgb="FFB91C1C"/>
      <x:name val="Carlito"/>
    </x:font>
  </x:fonts>
  <x:fills count="8">
    <x:fill>
      <x:patternFill patternType="none"/>
    </x:fill>
    <x:fill>
      <x:patternFill patternType="gray125"/>
    </x:fill>
    <x:fill>
      <x:patternFill patternType="solid">
        <x:fgColor rgb="FF17324D"/>
      </x:patternFill>
    </x:fill>
    <x:fill>
      <x:patternFill patternType="solid">
        <x:fgColor rgb="FFEAF2FF"/>
      </x:patternFill>
    </x:fill>
    <x:fill>
      <x:patternFill patternType="solid">
        <x:fgColor rgb="FFFEF3C7"/>
      </x:patternFill>
    </x:fill>
    <x:fill>
      <x:patternFill patternType="solid">
        <x:fgColor rgb="FFDCFCE7"/>
      </x:patternFill>
    </x:fill>
    <x:fill>
      <x:patternFill patternType="solid">
        <x:fgColor rgb="FFF1F5F9"/>
      </x:patternFill>
    </x:fill>
    <x:fill>
      <x:patternFill patternType="solid">
        <x:fgColor rgb="FFFEE2E2"/>
      </x:patternFill>
    </x:fill>
  </x:fills>
  <x:borders count="20">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bottom style="thin">
        <x:color rgb="FFE2E8F0"/>
      </x:bottom>
    </x:border>
    <x:border>
      <x:top style="thin">
        <x:color rgb="FFE2E8F0"/>
      </x:top>
      <x:bottom style="thin">
        <x:color rgb="FFE2E8F0"/>
      </x:bottom>
    </x:border>
    <x:border>
      <x:top style="thin">
        <x:color rgb="FFE2E8F0"/>
      </x:top>
      <x:bottom style="thin">
        <x:color rgb="FFCBD5E1"/>
      </x:bottom>
    </x:border>
    <x:border>
      <x:left style="thin">
        <x:color rgb="FFCBD5E1"/>
      </x:left>
      <x:top style="thin">
        <x:color rgb="FFCBD5E1"/>
      </x:top>
    </x:border>
    <x:border>
      <x:right style="thin">
        <x:color rgb="FFCBD5E1"/>
      </x:right>
      <x:top style="thin">
        <x:color rgb="FFCBD5E1"/>
      </x:top>
    </x:border>
    <x:border>
      <x:left style="thin">
        <x:color rgb="FFCBD5E1"/>
      </x:left>
      <x:bottom style="thin">
        <x:color rgb="FFCBD5E1"/>
      </x:bottom>
    </x:border>
    <x:border>
      <x:right style="thin">
        <x:color rgb="FFCBD5E1"/>
      </x:right>
      <x:bottom style="thin">
        <x:color rgb="FFCBD5E1"/>
      </x:bottom>
    </x:border>
    <x:border>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B91C1C"/>
      </x:left>
      <x:top style="thin">
        <x:color rgb="FFB91C1C"/>
      </x:top>
    </x:border>
    <x:border>
      <x:top style="thin">
        <x:color rgb="FFB91C1C"/>
      </x:top>
    </x:border>
    <x:border>
      <x:right style="thin">
        <x:color rgb="FFB91C1C"/>
      </x:right>
      <x:top style="thin">
        <x:color rgb="FFB91C1C"/>
      </x:top>
    </x:border>
    <x:border>
      <x:left style="thin">
        <x:color rgb="FFB91C1C"/>
      </x:left>
    </x:border>
    <x:border>
      <x:right style="thin">
        <x:color rgb="FFB91C1C"/>
      </x:right>
    </x:border>
    <x:border>
      <x:left style="thin">
        <x:color rgb="FFB91C1C"/>
      </x:left>
      <x:bottom style="thin">
        <x:color rgb="FFB91C1C"/>
      </x:bottom>
    </x:border>
    <x:border>
      <x:bottom style="thin">
        <x:color rgb="FFB91C1C"/>
      </x:bottom>
    </x:border>
    <x:border>
      <x:right style="thin">
        <x:color rgb="FFB91C1C"/>
      </x:right>
      <x:bottom style="thin">
        <x:color rgb="FFB91C1C"/>
      </x:bottom>
    </x:border>
  </x:borders>
  <x:cellStyleXfs count="1">
    <x:xf numFmtId="0" fontId="0" fillId="0" borderId="0"/>
  </x:cellStyleXfs>
  <x:cellXfs count="9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3" borderId="6" xfId="0" applyNumberFormat="1" applyFont="1" applyFill="1" applyBorder="1"/>
    <x:xf numFmtId="0" fontId="0" fillId="3" borderId="7" xfId="0" applyNumberFormat="1" applyFont="1" applyFill="1" applyBorder="1"/>
    <x:xf numFmtId="0" fontId="0" fillId="3" borderId="8" xfId="0" applyNumberFormat="1" applyFont="1" applyFill="1" applyBorder="1"/>
    <x:xf numFmtId="0" fontId="0" fillId="3" borderId="9" xfId="0" applyNumberFormat="1" applyFont="1" applyFill="1" applyBorder="1"/>
    <x:xf numFmtId="0" fontId="0" fillId="4" borderId="0" xfId="0" applyNumberFormat="1" applyFont="1" applyFill="1" applyBorder="1"/>
    <x:xf numFmtId="0" fontId="0" fillId="4" borderId="6" xfId="0" applyNumberFormat="1" applyFont="1" applyFill="1" applyBorder="1"/>
    <x:xf numFmtId="0" fontId="0" fillId="4" borderId="7" xfId="0" applyNumberFormat="1" applyFont="1" applyFill="1" applyBorder="1"/>
    <x:xf numFmtId="0" fontId="0" fillId="4" borderId="8" xfId="0" applyNumberFormat="1" applyFont="1" applyFill="1" applyBorder="1"/>
    <x:xf numFmtId="0" fontId="0" fillId="4" borderId="9" xfId="0" applyNumberFormat="1" applyFont="1" applyFill="1" applyBorder="1"/>
    <x:xf numFmtId="0" fontId="0" fillId="5" borderId="0" xfId="0" applyNumberFormat="1" applyFont="1" applyFill="1" applyBorder="1"/>
    <x:xf numFmtId="0" fontId="0" fillId="5" borderId="6" xfId="0" applyNumberFormat="1" applyFont="1" applyFill="1" applyBorder="1"/>
    <x:xf numFmtId="0" fontId="0" fillId="5" borderId="7" xfId="0" applyNumberFormat="1" applyFont="1" applyFill="1" applyBorder="1"/>
    <x:xf numFmtId="0" fontId="0" fillId="5" borderId="8" xfId="0" applyNumberFormat="1" applyFont="1" applyFill="1" applyBorder="1"/>
    <x:xf numFmtId="0" fontId="0" fillId="5" borderId="9" xfId="0" applyNumberFormat="1" applyFont="1" applyFill="1" applyBorder="1"/>
    <x:xf numFmtId="0" fontId="0" fillId="6" borderId="0"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4" borderId="6" xfId="0" applyNumberFormat="1" applyFont="1" applyFill="1" applyBorder="1"/>
    <x:xf numFmtId="0" fontId="2" fillId="4" borderId="7" xfId="0" applyNumberFormat="1" applyFont="1" applyFill="1" applyBorder="1"/>
    <x:xf numFmtId="0" fontId="2" fillId="5" borderId="6" xfId="0" applyNumberFormat="1" applyFont="1" applyFill="1" applyBorder="1"/>
    <x:xf numFmtId="0" fontId="2" fillId="5" borderId="7" xfId="0" applyNumberFormat="1" applyFont="1" applyFill="1" applyBorder="1"/>
    <x:xf numFmtId="0" fontId="2" fillId="6" borderId="6" xfId="0" applyNumberFormat="1" applyFont="1" applyFill="1" applyBorder="1"/>
    <x:xf numFmtId="0" fontId="2" fillId="6" borderId="7" xfId="0" applyNumberFormat="1" applyFont="1" applyFill="1" applyBorder="1"/>
    <x:xf numFmtId="0" fontId="4" fillId="3" borderId="8" xfId="0" applyNumberFormat="1" applyFont="1" applyFill="1" applyBorder="1"/>
    <x:xf numFmtId="0" fontId="4" fillId="3" borderId="9"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6" borderId="8" xfId="0" applyNumberFormat="1" applyFont="1" applyFill="1" applyBorder="1"/>
    <x:xf numFmtId="0" fontId="4" fillId="6" borderId="9" xfId="0" applyNumberFormat="1" applyFont="1" applyFill="1" applyBorder="1"/>
    <x:xf numFmtId="0" fontId="3" fillId="2" borderId="10" xfId="0" applyNumberFormat="1" applyFont="1" applyFill="1" applyBorder="1"/>
    <x:xf numFmtId="0" fontId="3" fillId="2" borderId="10" xfId="0" applyNumberFormat="1" applyFont="1" applyFill="1" applyBorder="1" applyAlignment="1">
      <x:alignment wrapText="1"/>
    </x:xf>
    <x:xf numFmtId="0" fontId="3" fillId="2" borderId="10" xfId="0" applyNumberFormat="1" applyFont="1" applyFill="1" applyBorder="1" applyAlignment="1">
      <x:alignment vertical="center" wrapText="1"/>
    </x:xf>
    <x:xf numFmtId="0" fontId="0" fillId="0" borderId="11" xfId="0" applyNumberFormat="1" applyFont="1" applyFill="1" applyBorder="1"/>
    <x:xf numFmtId="0" fontId="0" fillId="5" borderId="11" xfId="0" applyNumberFormat="1" applyFont="1" applyFill="1" applyBorder="1"/>
    <x:xf numFmtId="0" fontId="0" fillId="7" borderId="11" xfId="0" applyNumberFormat="1" applyFont="1" applyFill="1" applyBorder="1"/>
    <x:xf numFmtId="0" fontId="0" fillId="4" borderId="11" xfId="0" applyNumberFormat="1" applyFont="1" applyFill="1" applyBorder="1"/>
    <x:xf numFmtId="200" fontId="0" fillId="0" borderId="0" xfId="0" applyNumberFormat="1" applyFont="1" applyFill="1" applyBorder="1"/>
    <x:xf numFmtId="200" fontId="0" fillId="0" borderId="1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12" xfId="0" applyNumberFormat="1" applyFont="1" applyFill="1" applyBorder="1"/>
    <x:xf numFmtId="0" fontId="5" fillId="7" borderId="13" xfId="0" applyNumberFormat="1" applyFont="1" applyFill="1" applyBorder="1"/>
    <x:xf numFmtId="0" fontId="5" fillId="7" borderId="14" xfId="0" applyNumberFormat="1" applyFont="1" applyFill="1" applyBorder="1"/>
    <x:xf numFmtId="0" fontId="5" fillId="7" borderId="15" xfId="0" applyNumberFormat="1" applyFont="1" applyFill="1" applyBorder="1"/>
    <x:xf numFmtId="0" fontId="5" fillId="7" borderId="16" xfId="0" applyNumberFormat="1" applyFont="1" applyFill="1" applyBorder="1"/>
    <x:xf numFmtId="0" fontId="5" fillId="7" borderId="17" xfId="0" applyNumberFormat="1" applyFont="1" applyFill="1" applyBorder="1"/>
    <x:xf numFmtId="0" fontId="5" fillId="7" borderId="18" xfId="0" applyNumberFormat="1" applyFont="1" applyFill="1" applyBorder="1"/>
    <x:xf numFmtId="0" fontId="5" fillId="7" borderId="19" xfId="0" applyNumberFormat="1" applyFont="1" applyFill="1" applyBorder="1"/>
    <x:xf numFmtId="0" fontId="5" fillId="7" borderId="12" xfId="0" applyNumberFormat="1" applyFont="1" applyFill="1" applyBorder="1" applyAlignment="1">
      <x:alignment wrapText="1"/>
    </x:xf>
    <x:xf numFmtId="0" fontId="5" fillId="7" borderId="13" xfId="0" applyNumberFormat="1" applyFont="1" applyFill="1" applyBorder="1" applyAlignment="1">
      <x:alignment wrapText="1"/>
    </x:xf>
    <x:xf numFmtId="0" fontId="5" fillId="7" borderId="14" xfId="0" applyNumberFormat="1" applyFont="1" applyFill="1" applyBorder="1" applyAlignment="1">
      <x:alignment wrapText="1"/>
    </x:xf>
    <x:xf numFmtId="0" fontId="5" fillId="7" borderId="15" xfId="0" applyNumberFormat="1" applyFont="1" applyFill="1" applyBorder="1" applyAlignment="1">
      <x:alignment wrapText="1"/>
    </x:xf>
    <x:xf numFmtId="0" fontId="5" fillId="7" borderId="0" xfId="0" applyNumberFormat="1" applyFont="1" applyFill="1" applyBorder="1" applyAlignment="1">
      <x:alignment wrapText="1"/>
    </x:xf>
    <x:xf numFmtId="0" fontId="5" fillId="7" borderId="16" xfId="0" applyNumberFormat="1" applyFont="1" applyFill="1" applyBorder="1" applyAlignment="1">
      <x:alignment wrapText="1"/>
    </x:xf>
    <x:xf numFmtId="0" fontId="5" fillId="7" borderId="17" xfId="0" applyNumberFormat="1" applyFont="1" applyFill="1" applyBorder="1" applyAlignment="1">
      <x:alignment wrapText="1"/>
    </x:xf>
    <x:xf numFmtId="0" fontId="5" fillId="7" borderId="18" xfId="0" applyNumberFormat="1" applyFont="1" applyFill="1" applyBorder="1" applyAlignment="1">
      <x:alignment wrapText="1"/>
    </x:xf>
    <x:xf numFmtId="0" fontId="5" fillId="7" borderId="19" xfId="0" applyNumberFormat="1" applyFont="1" applyFill="1" applyBorder="1" applyAlignment="1">
      <x:alignment wrapText="1"/>
    </x:xf>
    <x:xf numFmtId="0" fontId="5" fillId="7" borderId="12" xfId="0" applyNumberFormat="1" applyFont="1" applyFill="1" applyBorder="1" applyAlignment="1">
      <x:alignment vertical="center" wrapText="1"/>
    </x:xf>
    <x:xf numFmtId="0" fontId="5" fillId="7" borderId="13" xfId="0" applyNumberFormat="1" applyFont="1" applyFill="1" applyBorder="1" applyAlignment="1">
      <x:alignment vertical="center" wrapText="1"/>
    </x:xf>
    <x:xf numFmtId="0" fontId="5" fillId="7" borderId="14" xfId="0" applyNumberFormat="1" applyFont="1" applyFill="1" applyBorder="1" applyAlignment="1">
      <x:alignment vertical="center" wrapText="1"/>
    </x:xf>
    <x:xf numFmtId="0" fontId="5" fillId="7" borderId="15"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5" fillId="7" borderId="16" xfId="0" applyNumberFormat="1" applyFont="1" applyFill="1" applyBorder="1" applyAlignment="1">
      <x:alignment vertical="center" wrapText="1"/>
    </x:xf>
    <x:xf numFmtId="0" fontId="5" fillId="7" borderId="17" xfId="0" applyNumberFormat="1" applyFont="1" applyFill="1" applyBorder="1" applyAlignment="1">
      <x:alignment vertical="center" wrapText="1"/>
    </x:xf>
    <x:xf numFmtId="0" fontId="5" fillId="7" borderId="18" xfId="0" applyNumberFormat="1" applyFont="1" applyFill="1" applyBorder="1" applyAlignment="1">
      <x:alignment vertical="center" wrapText="1"/>
    </x:xf>
    <x:xf numFmtId="0" fontId="5" fillId="7" borderId="19" xfId="0" applyNumberFormat="1" applyFont="1" applyFill="1" applyBorder="1" applyAlignment="1">
      <x:alignment vertical="center" wrapText="1"/>
    </x:xf>
    <x:xf numFmtId="0" fontId="0" fillId="4" borderId="3" xfId="0" applyNumberFormat="1" applyFont="1" applyFill="1" applyBorder="1" applyAlignment="1">
      <x:alignment vertical="top" wrapText="1"/>
    </x:xf>
    <x:xf numFmtId="0" fontId="0" fillId="4" borderId="4" xfId="0" applyNumberFormat="1" applyFont="1" applyFill="1" applyBorder="1" applyAlignment="1">
      <x:alignment vertical="top" wrapText="1"/>
    </x:xf>
    <x:xf numFmtId="0" fontId="0" fillId="4" borderId="5" xfId="0" applyNumberFormat="1" applyFont="1" applyFill="1" applyBorder="1" applyAlignment="1">
      <x:alignment vertical="top" wrapText="1"/>
    </x:xf>
  </x:cellXfs>
  <x:cellStyles count="1">
    <x:cellStyle name="Normal" xfId="0"/>
  </x:cellStyles>
  <x:dxfs count="5">
    <x:dxf>
      <x:font>
        <x:b/>
        <x:color rgb="FFB91C1C"/>
      </x:font>
      <x:fill>
        <x:patternFill>
          <x:bgColor rgb="FFFEE2E2"/>
        </x:patternFill>
      </x:fill>
    </x:dxf>
    <x:dxf>
      <x:font>
        <x:b/>
        <x:color rgb="FF15803D"/>
      </x:font>
      <x:fill>
        <x:patternFill>
          <x:bgColor rgb="FFDCFCE7"/>
        </x:patternFill>
      </x:fill>
    </x:dxf>
    <x:dxf>
      <x:font>
        <x:b/>
        <x:color rgb="FFB91C1C"/>
      </x:font>
      <x:fill>
        <x:patternFill>
          <x:bgColor rgb="FFFEE2E2"/>
        </x:patternFill>
      </x:fill>
    </x:dxf>
    <x:dxf>
      <x:font>
        <x:b/>
        <x:color rgb="FF15803D"/>
      </x:font>
      <x:fill>
        <x:patternFill>
          <x:bgColor rgb="FFDCFCE7"/>
        </x:patternFill>
      </x:fill>
    </x:dxf>
    <x:dxf>
      <x:font>
        <x:color rgb="FFB45309"/>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f77fd012c14960" /><Relationship Type="http://schemas.openxmlformats.org/officeDocument/2006/relationships/theme" Target="/xl/theme/theme1.xml" Id="R24976e0bda5940f7" /><Relationship Type="http://schemas.openxmlformats.org/officeDocument/2006/relationships/sharedStrings" Target="/xl/sharedStrings.xml" Id="R1f7d726e45b2405f" /><Relationship Type="http://schemas.openxmlformats.org/officeDocument/2006/relationships/worksheet" Target="/xl/worksheets/sheet1.xml" Id="R41c0e35e72154c22" /><Relationship Type="http://schemas.openxmlformats.org/officeDocument/2006/relationships/worksheet" Target="/xl/worksheets/sheet2.xml" Id="R6f556432844b4705" /><Relationship Type="http://schemas.openxmlformats.org/officeDocument/2006/relationships/worksheet" Target="/xl/worksheets/sheet3.xml" Id="R09e510e5241f4b0f" /><Relationship Type="http://schemas.openxmlformats.org/officeDocument/2006/relationships/worksheet" Target="/xl/worksheets/sheet4.xml" Id="Rbca4c89110ad4e3a" /><Relationship Type="http://schemas.openxmlformats.org/officeDocument/2006/relationships/worksheet" Target="/xl/worksheets/sheet5.xml" Id="R7a29f22278074847" /></Relationships>
</file>

<file path=xl/tables/table1.xml><?xml version="1.0" encoding="utf-8"?>
<x:table xmlns:x="http://schemas.openxmlformats.org/spreadsheetml/2006/main" id="1" name="StrictDecisionTable" displayName="StrictDecisionTable" ref="A1:K29" headerRowCount="1" totalsRowCount="0" totalsRowShown="0">
  <x:tableColumns count="11">
    <x:tableColumn id="1" name="question_id"/>
    <x:tableColumn id="2" name="question"/>
    <x:tableColumn id="3" name="answerable"/>
    <x:tableColumn id="4" name="calibration_class"/>
    <x:tableColumn id="5" name="calibration_basis"/>
    <x:tableColumn id="6" name="expected_decision"/>
    <x:tableColumn id="7" name="predicted_decision"/>
    <x:tableColumn id="8" name="decision_correct"/>
    <x:tableColumn id="9" name="classification"/>
    <x:tableColumn id="10" name="supporting_chunk_ids"/>
    <x:tableColumn id="11" name="decision_reason"/>
  </x:tableColumns>
  <x:tableStyleInfo name="TableStyleMedium2" showFirstColumn="0" showLastColumn="0" showRowStripes="1" showColumnStripes="0"/>
</x:table>
</file>

<file path=xl/tables/table2.xml><?xml version="1.0" encoding="utf-8"?>
<x:table xmlns:x="http://schemas.openxmlformats.org/spreadsheetml/2006/main" id="2" name="HumanReview12Table" displayName="HumanReview12Table" ref="A1:R13" headerRowCount="1" totalsRowCount="0" totalsRowShown="0">
  <x:tableColumns count="18">
    <x:tableColumn id="1" name="question_id"/>
    <x:tableColumn id="2" name="audit_flag"/>
    <x:tableColumn id="3" name="credited_evidence_status"/>
    <x:tableColumn id="4" name="question"/>
    <x:tableColumn id="5" name="expected_answer_points"/>
    <x:tableColumn id="6" name="relevant_time_ranges"/>
    <x:tableColumn id="7" name="model_decision"/>
    <x:tableColumn id="8" name="model_reason"/>
    <x:tableColumn id="9" name="model_supporting_chunk_ids"/>
    <x:tableColumn id="10" name="candidate_1"/>
    <x:tableColumn id="11" name="candidate_2"/>
    <x:tableColumn id="12" name="candidate_3"/>
    <x:tableColumn id="13" name="human_top3_sufficiency"/>
    <x:tableColumn id="14" name="human_reviewer_decision_correct"/>
    <x:tableColumn id="15" name="human_supporting_evidence_correct"/>
    <x:tableColumn id="16" name="human_final_classification"/>
    <x:tableColumn id="17" name="human_notes"/>
    <x:tableColumn id="18" name="human_review_status"/>
  </x:tableColumns>
  <x:tableStyleInfo name="TableStyleMedium2" showFirstColumn="0" showLastColumn="0" showRowStripes="1" showColumnStripes="0"/>
</x:table>
</file>

<file path=xl/tables/table3.xml><?xml version="1.0" encoding="utf-8"?>
<x:table xmlns:x="http://schemas.openxmlformats.org/spreadsheetml/2006/main" id="3" name="EvidenceAuditTable" displayName="EvidenceAuditTable" ref="A1:M36" headerRowCount="1" totalsRowCount="0" totalsRowShown="0">
  <x:tableColumns count="13">
    <x:tableColumn id="1" name="question_id"/>
    <x:tableColumn id="2" name="calibration_class"/>
    <x:tableColumn id="3" name="question"/>
    <x:tableColumn id="4" name="expected_answer_points"/>
    <x:tableColumn id="5" name="model_reason"/>
    <x:tableColumn id="6" name="supporting_chunk_id"/>
    <x:tableColumn id="7" name="supporting_rank"/>
    <x:tableColumn id="8" name="supporting_chunk_text"/>
    <x:tableColumn id="9" name="citation_url"/>
    <x:tableColumn id="10" name="auto_gt_time_overlap"/>
    <x:tableColumn id="11" name="human_entailment_verdict"/>
    <x:tableColumn id="12" name="human_notes"/>
    <x:tableColumn id="13" name="human_review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6753fc5b6c94f60" /></Relationships>
</file>

<file path=xl/worksheets/_rels/sheet4.xml.rels>&#65279;<?xml version="1.0" encoding="utf-8"?><Relationships xmlns="http://schemas.openxmlformats.org/package/2006/relationships"><Relationship Type="http://schemas.openxmlformats.org/officeDocument/2006/relationships/table" Target="/xl/tables/table2.xml" Id="R30ed6e28291f41ac" /></Relationships>
</file>

<file path=xl/worksheets/_rels/sheet5.xml.rels>&#65279;<?xml version="1.0" encoding="utf-8"?><Relationships xmlns="http://schemas.openxmlformats.org/package/2006/relationships"><Relationship Type="http://schemas.openxmlformats.org/officeDocument/2006/relationships/table" Target="/xl/tables/table3.xml" Id="R81e1c356f587495e"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78"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s>
  <x:sheetData>
    <x:row r="1" ht="30" customHeight="1">
      <x:c r="A1" s="3" t="str">
        <x:v>Phase 8 M3 — Evidence Reviewer Evaluation</x:v>
      </x:c>
    </x:row>
    <x:row r="2" ht="30" customHeight="1"/>
    <x:row r="4" ht="42" customHeight="1">
      <x:c r="A4" s="7" t="str">
        <x:v>Mục tiêu: đo locked output của llama3.2:3b trước khi sửa prompt hoặc đổi model.</x:v>
      </x:c>
      <x:c r="B4" s="7"/>
      <x:c r="C4" s="7"/>
      <x:c r="D4" s="7"/>
      <x:c r="E4" s="7"/>
      <x:c r="F4" s="7"/>
      <x:c r="G4" s="7"/>
      <x:c r="H4" s="7"/>
    </x:row>
    <x:row r="6" ht="34" customHeight="1">
      <x:c r="A6" s="13" t="str">
        <x:v>Sheet</x:v>
      </x:c>
      <x:c r="B6" s="14" t="str">
        <x:v>Cần làm / cần đọc</x:v>
      </x:c>
    </x:row>
    <x:row r="7" ht="15" hidden="0" customHeight="1">
      <x:c r="A7" s="21" t="str">
        <x:v>Summary</x:v>
      </x:c>
      <x:c r="B7" s="21" t="str">
        <x:v>Đọc confusion matrix và 5 metrics strict trên 28 câu có nhãn chắc chắn.</x:v>
      </x:c>
    </x:row>
    <x:row r="8" ht="15" hidden="0" customHeight="1">
      <x:c r="A8" s="22" t="str">
        <x:v>Strict Decisions</x:v>
      </x:c>
      <x:c r="B8" s="22" t="str">
        <x:v>Xem chi tiết 28 câu; không chỉnh nhãn calibration trong workbook này.</x:v>
      </x:c>
    </x:row>
    <x:row r="9" ht="15" hidden="0" customHeight="1">
      <x:c r="A9" s="22" t="str">
        <x:v>Human Review 12</x:v>
      </x:c>
      <x:c r="B9" s="22" t="str">
        <x:v>Điền 6 cột màu vàng từ human_top3_sufficiency đến human_review_status.</x:v>
      </x:c>
    </x:row>
    <x:row r="10" ht="15" hidden="0" customHeight="1">
      <x:c r="A10" s="22" t="str">
        <x:v>Evidence Audit</x:v>
      </x:c>
      <x:c r="B10" s="22" t="str">
        <x:v>Đọc từng supporting chunk của 27 câu accept; điền verdict, notes và status.</x:v>
      </x:c>
    </x:row>
    <x:row r="11" ht="15" hidden="0" customHeight="1">
      <x:c r="A11" s="22" t="str">
        <x:v>q-023 / q-041</x:v>
      </x:c>
      <x:c r="B11" s="22" t="str">
        <x:v>Giữ possible Ground Truth under-credit; không sửa benchmark trong M3.</x:v>
      </x:c>
    </x:row>
    <x:row r="12" ht="15" hidden="0" customHeight="1">
      <x:c r="A12" s="23" t="str">
        <x:v>GT time overlap</x:v>
      </x:c>
      <x:c r="B12" s="23" t="str">
        <x:v>Chỉ là tín hiệu audit theo timestamp, không phải bằng chứng answer entailment.</x:v>
      </x:c>
    </x:row>
    <x:row r="13"/>
    <x:row r="14" ht="15" hidden="0" customHeight="1">
      <x:c r="A14" s="13" t="str">
        <x:v>Phân loại</x:v>
      </x:c>
      <x:c r="B14" s="14" t="str">
        <x:v>Ý nghĩa</x:v>
      </x:c>
      <x:c r="C14"/>
      <x:c r="D14"/>
      <x:c r="E14"/>
      <x:c r="F14"/>
      <x:c r="G14"/>
      <x:c r="H14"/>
    </x:row>
    <x:row r="15" ht="15" hidden="0" customHeight="1">
      <x:c r="A15" s="21" t="str">
        <x:v>A_success</x:v>
      </x:c>
      <x:c r="B15" s="21" t="str">
        <x:v>Retriever đủ evidence và reviewer accept.</x:v>
      </x:c>
      <x:c r="C15"/>
      <x:c r="D15"/>
      <x:c r="E15"/>
      <x:c r="F15"/>
      <x:c r="G15"/>
      <x:c r="H15"/>
    </x:row>
    <x:row r="16" ht="15" hidden="0" customHeight="1">
      <x:c r="A16" s="22" t="str">
        <x:v>B_reviewer_false_reject</x:v>
      </x:c>
      <x:c r="B16" s="22" t="str">
        <x:v>Retriever đủ evidence nhưng reviewer reject.</x:v>
      </x:c>
      <x:c r="C16"/>
      <x:c r="D16"/>
      <x:c r="E16"/>
      <x:c r="F16"/>
      <x:c r="G16"/>
      <x:c r="H16"/>
    </x:row>
    <x:row r="17" ht="15" hidden="0" customHeight="1">
      <x:c r="A17" s="22" t="str">
        <x:v>C_correct_abstention</x:v>
      </x:c>
      <x:c r="B17" s="22" t="str">
        <x:v>Retriever thiếu evidence và reviewer reject.</x:v>
      </x:c>
      <x:c r="C17"/>
      <x:c r="D17"/>
      <x:c r="E17"/>
      <x:c r="F17"/>
      <x:c r="G17"/>
      <x:c r="H17"/>
    </x:row>
    <x:row r="18" ht="15" hidden="0" customHeight="1">
      <x:c r="A18" s="23" t="str">
        <x:v>D_potential_false_accept</x:v>
      </x:c>
      <x:c r="B18" s="23" t="str">
        <x:v>Retriever thiếu evidence nhưng reviewer accept; cần ưu tiên kiểm tra.</x:v>
      </x:c>
      <x:c r="C18"/>
      <x:c r="D18"/>
      <x:c r="E18"/>
      <x:c r="F18"/>
      <x:c r="G18"/>
      <x:c r="H18"/>
    </x:row>
  </x:sheetData>
  <x:mergeCells>
    <x:mergeCell ref="A1:H2"/>
    <x:mergeCell ref="A4:H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4" hidden="0" customWidth="1"/>
    <x:col min="4" max="4" width="3" hidden="0" customWidth="1"/>
    <x:col min="5" max="5" width="28" hidden="0" customWidth="1"/>
    <x:col min="6" max="6" width="16" hidden="0" customWidth="1"/>
    <x:col min="7" max="7" width="18" hidden="0" customWidth="1"/>
    <x:col min="8" max="8" width="18" hidden="0" customWidth="1"/>
  </x:cols>
  <x:sheetData>
    <x:row r="1" ht="30" customHeight="1">
      <x:c r="A1" s="3" t="str">
        <x:v>M3 Strict Decision Metrics — Locked llama3.2:3b</x:v>
      </x:c>
    </x:row>
    <x:row r="2" ht="30" customHeight="1"/>
    <x:row r="4">
      <x:c r="A4" s="43" t="str">
        <x:v>Strict labels</x:v>
      </x:c>
      <x:c r="B4" s="44"/>
      <x:c r="C4" s="45" t="str">
        <x:v>Needs human review</x:v>
      </x:c>
      <x:c r="D4" s="46"/>
      <x:c r="E4" s="47" t="str">
        <x:v>Model accepts</x:v>
      </x:c>
      <x:c r="F4" s="48"/>
      <x:c r="G4" s="49" t="str">
        <x:v>Selected chunks</x:v>
      </x:c>
      <x:c r="H4" s="50"/>
    </x:row>
    <x:row r="5">
      <x:c r="A5" s="51" t="n">
        <x:f>COUNTA('Strict Decisions'!$A$2:$A$29)</x:f>
        <x:v>28</x:v>
      </x:c>
      <x:c r="B5" s="52"/>
      <x:c r="C5" s="53" t="n">
        <x:f>COUNTA('Human Review 12'!$A$2:$A$13)</x:f>
        <x:v>12</x:v>
      </x:c>
      <x:c r="D5" s="54"/>
      <x:c r="E5" s="55" t="n">
        <x:f>COUNTIF('Strict Decisions'!$G$2:$G$29,"accept")+COUNTIF('Human Review 12'!$G$2:$G$13,"accept")</x:f>
        <x:v>27</x:v>
      </x:c>
      <x:c r="F5" s="56"/>
      <x:c r="G5" s="57" t="n">
        <x:f>COUNTA('Evidence Audit'!$A$2:$A$36)</x:f>
        <x:v>35</x:v>
      </x:c>
      <x:c r="H5" s="58"/>
    </x:row>
    <x:row r="7" ht="34" customHeight="1">
      <x:c r="A7" s="13" t="str">
        <x:v>Predicted \ Expected</x:v>
      </x:c>
      <x:c r="B7" s="61" t="str">
        <x:v>Accept</x:v>
      </x:c>
      <x:c r="C7" s="14" t="str">
        <x:v>Reject</x:v>
      </x:c>
      <x:c r="E7" s="13" t="str">
        <x:v>Metric</x:v>
      </x:c>
      <x:c r="F7" s="14" t="str">
        <x:v>Value</x:v>
      </x:c>
    </x:row>
    <x:row r="8">
      <x:c r="A8" s="62" t="str">
        <x:v>Accept</x:v>
      </x:c>
      <x:c r="B8" s="63" t="n">
        <x:f>COUNTIFS('Strict Decisions'!$F$2:$F$29,"accept",'Strict Decisions'!$G$2:$G$29,"accept")</x:f>
        <x:v>13</x:v>
      </x:c>
      <x:c r="C8" s="64" t="n">
        <x:f>COUNTIFS('Strict Decisions'!$F$2:$F$29,"reject",'Strict Decisions'!$G$2:$G$29,"accept")</x:f>
        <x:v>7</x:v>
      </x:c>
      <x:c r="E8" s="62" t="str">
        <x:v>Accuracy</x:v>
      </x:c>
      <x:c r="F8" s="67" t="n">
        <x:f>(B8+C9)/SUM(B8:C9)</x:f>
        <x:v>0.6428571428571429</x:v>
      </x:c>
    </x:row>
    <x:row r="9">
      <x:c r="A9" s="62" t="str">
        <x:v>Reject</x:v>
      </x:c>
      <x:c r="B9" s="65" t="n">
        <x:f>COUNTIFS('Strict Decisions'!$F$2:$F$29,"accept",'Strict Decisions'!$G$2:$G$29,"reject")</x:f>
        <x:v>3</x:v>
      </x:c>
      <x:c r="C9" s="63" t="n">
        <x:f>COUNTIFS('Strict Decisions'!$F$2:$F$29,"reject",'Strict Decisions'!$G$2:$G$29,"reject")</x:f>
        <x:v>5</x:v>
      </x:c>
      <x:c r="E9" s="62" t="str">
        <x:v>Accept precision</x:v>
      </x:c>
      <x:c r="F9" s="67" t="n">
        <x:f>B8/(B8+C8)</x:f>
        <x:v>0.65</x:v>
      </x:c>
    </x:row>
    <x:row r="10">
      <x:c r="A10" s="62" t="str">
        <x:v>Total</x:v>
      </x:c>
      <x:c r="B10" s="62" t="n">
        <x:f>SUM(B8:B9)</x:f>
        <x:v>16</x:v>
      </x:c>
      <x:c r="C10" s="62" t="n">
        <x:f>SUM(C8:C9)</x:f>
        <x:v>12</x:v>
      </x:c>
      <x:c r="E10" s="62" t="str">
        <x:v>Accept recall</x:v>
      </x:c>
      <x:c r="F10" s="67" t="n">
        <x:f>B8/(B8+B9)</x:f>
        <x:v>0.8125</x:v>
      </x:c>
    </x:row>
    <x:row r="11">
      <x:c r="E11" s="62" t="str">
        <x:v>False Accept Rate</x:v>
      </x:c>
      <x:c r="F11" s="67" t="n">
        <x:f>C8/(C8+C9)</x:f>
        <x:v>0.5833333333333334</x:v>
      </x:c>
    </x:row>
    <x:row r="12">
      <x:c r="E12" s="62" t="str">
        <x:v>False Reject Rate</x:v>
      </x:c>
      <x:c r="F12" s="67" t="n">
        <x:f>B9/(B8+B9)</x:f>
        <x:v>0.1875</x:v>
      </x:c>
    </x:row>
    <x:row r="14">
      <x:c r="E14" s="87" t="str">
        <x:v>Cảnh báo: False Accept Rate đo trên 12 strong-reject rows. Đây là rủi ro evidence gate, nhưng chưa bao gồm kết luận human review của 12 câu còn lại.</x:v>
      </x:c>
      <x:c r="F14" s="88"/>
      <x:c r="G14" s="88"/>
      <x:c r="H14" s="89"/>
    </x:row>
    <x:row r="15">
      <x:c r="E15" s="90"/>
      <x:c r="F15" s="91"/>
      <x:c r="G15" s="91"/>
      <x:c r="H15" s="92"/>
    </x:row>
    <x:row r="16">
      <x:c r="E16" s="93"/>
      <x:c r="F16" s="94"/>
      <x:c r="G16" s="94"/>
      <x:c r="H16" s="95"/>
    </x:row>
  </x:sheetData>
  <x:mergeCells>
    <x:mergeCell ref="A1:H2"/>
    <x:mergeCell ref="E14:H1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48" hidden="0" customWidth="1"/>
    <x:col min="3" max="3" width="12" hidden="0" customWidth="1"/>
    <x:col min="4" max="4" width="24" hidden="0" customWidth="1"/>
    <x:col min="5" max="5" width="24" hidden="0" customWidth="1"/>
    <x:col min="6" max="6" width="20" hidden="0" customWidth="1"/>
    <x:col min="7" max="7" width="20" hidden="0" customWidth="1"/>
    <x:col min="8" max="8" width="20" hidden="0" customWidth="1"/>
    <x:col min="9" max="9" width="20" hidden="0" customWidth="1"/>
    <x:col min="10" max="10" width="42" hidden="0" customWidth="1"/>
    <x:col min="11" max="11" width="60" hidden="0" customWidth="1"/>
  </x:cols>
  <x:sheetData>
    <x:row r="1" ht="34" customHeight="1">
      <x:c r="A1" s="13" t="str">
        <x:v>question_id</x:v>
      </x:c>
      <x:c r="B1" s="61" t="str">
        <x:v>question</x:v>
      </x:c>
      <x:c r="C1" s="61" t="str">
        <x:v>answerable</x:v>
      </x:c>
      <x:c r="D1" s="61" t="str">
        <x:v>calibration_class</x:v>
      </x:c>
      <x:c r="E1" s="61" t="str">
        <x:v>calibration_basis</x:v>
      </x:c>
      <x:c r="F1" s="61" t="str">
        <x:v>expected_decision</x:v>
      </x:c>
      <x:c r="G1" s="61" t="str">
        <x:v>predicted_decision</x:v>
      </x:c>
      <x:c r="H1" s="61" t="str">
        <x:v>decision_correct</x:v>
      </x:c>
      <x:c r="I1" s="61" t="str">
        <x:v>classification</x:v>
      </x:c>
      <x:c r="J1" s="61" t="str">
        <x:v>supporting_chunk_ids</x:v>
      </x:c>
      <x:c r="K1" s="14" t="str">
        <x:v>decision_reason</x:v>
      </x:c>
    </x:row>
    <x:row r="2" ht="58" customHeight="1">
      <x:c r="A2" s="21" t="str">
        <x:v>mit60001-q-002</x:v>
      </x:c>
      <x:c r="B2" s="21" t="str">
        <x:v>What does the course say students should do to practice programming effectively?</x:v>
      </x:c>
      <x:c r="C2" s="21" t="str">
        <x:v>True</x:v>
      </x:c>
      <x:c r="D2" s="21" t="str">
        <x:v>strong_reject</x:v>
      </x:c>
      <x:c r="E2" s="21" t="str">
        <x:v>retrieval_miss_no_credited_evidence_in_top3</x:v>
      </x:c>
      <x:c r="F2" s="21" t="str">
        <x:v>reject</x:v>
      </x:c>
      <x:c r="G2" s="21" t="str">
        <x:v>accept</x:v>
      </x:c>
      <x:c r="H2" s="21" t="str">
        <x:v>False</x:v>
      </x:c>
      <x:c r="I2" s="21" t="str">
        <x:v>D_potential_false_accept</x:v>
      </x:c>
      <x:c r="J2" s="21" t="str">
        <x:v>nykOeWgQcHM:semantic_cosine_wp240_v1:7</x:v>
      </x:c>
      <x:c r="K2" s="21" t="str">
        <x:v>The candidate excerpt directly supports the answer 'To practice programming effectively, you need to write code that's well organized, modular, easy to understand, and readable by others.' with chunk_id 'nykOeWgQcHM:semantic_cosine_wp240_v1:7'.</x:v>
      </x:c>
    </x:row>
    <x:row r="3" ht="58" customHeight="1">
      <x:c r="A3" s="22" t="str">
        <x:v>mit60001-q-003</x:v>
      </x:c>
      <x:c r="B3" s="22" t="str">
        <x:v>How does Python use variable names in different scopes?</x:v>
      </x:c>
      <x:c r="C3" s="22" t="str">
        <x:v>True</x:v>
      </x:c>
      <x:c r="D3" s="22" t="str">
        <x:v>strong_accept</x:v>
      </x:c>
      <x:c r="E3" s="22" t="str">
        <x:v>full_credited_ground_truth_coverage</x:v>
      </x:c>
      <x:c r="F3" s="22" t="str">
        <x:v>accept</x:v>
      </x:c>
      <x:c r="G3" s="22" t="str">
        <x:v>accept</x:v>
      </x:c>
      <x:c r="H3" s="22" t="str">
        <x:v>True</x:v>
      </x:c>
      <x:c r="I3" s="22" t="str">
        <x:v>A_success_decision</x:v>
      </x:c>
      <x:c r="J3" s="22" t="str">
        <x:v>MjbuarJ7SE0:semantic_cosine_wp240_v1:21
MjbuarJ7SE0:semantic_cosine_wp240_v1:42</x:v>
      </x:c>
      <x:c r="K3" s="22" t="str">
        <x:v>The candidate excerpt directly supports the answer that Python uses variable names in different scopes, and the scope of a function is a completely separate environment than the environment of the main program.</x:v>
      </x:c>
    </x:row>
    <x:row r="4" ht="58" customHeight="1">
      <x:c r="A4" s="22" t="str">
        <x:v>mit60001-q-004</x:v>
      </x:c>
      <x:c r="B4" s="22" t="str">
        <x:v>What is the difference between assignment (=) and equality (==) in Python?</x:v>
      </x:c>
      <x:c r="C4" s="22" t="str">
        <x:v>True</x:v>
      </x:c>
      <x:c r="D4" s="22" t="str">
        <x:v>strong_reject</x:v>
      </x:c>
      <x:c r="E4" s="22" t="str">
        <x:v>retrieval_miss_no_credited_evidence_in_top3</x:v>
      </x:c>
      <x:c r="F4" s="22" t="str">
        <x:v>reject</x:v>
      </x:c>
      <x:c r="G4" s="22" t="str">
        <x:v>accept</x:v>
      </x:c>
      <x:c r="H4" s="22" t="str">
        <x:v>False</x:v>
      </x:c>
      <x:c r="I4" s="22" t="str">
        <x:v>D_potential_false_accept</x:v>
      </x:c>
      <x:c r="J4" s="22" t="str">
        <x:v>nykOeWgQcHM:semantic_cosine_wp240_v1:53</x:v>
      </x:c>
      <x:c r="K4" s="22" t="str">
        <x:v>The candidate excerpt directly supports the answer that assignment (=) and equality (==) are used differently in Python, with assignment being on the left-hand side and equality on the right-hand side.</x:v>
      </x:c>
    </x:row>
    <x:row r="5" ht="58" customHeight="1">
      <x:c r="A5" s="22" t="str">
        <x:v>mit60001-q-005</x:v>
      </x:c>
      <x:c r="B5" s="22" t="str">
        <x:v>According to the course, why does a recursive function require a base case?</x:v>
      </x:c>
      <x:c r="C5" s="22" t="str">
        <x:v>True</x:v>
      </x:c>
      <x:c r="D5" s="22" t="str">
        <x:v>strong_accept</x:v>
      </x:c>
      <x:c r="E5" s="22" t="str">
        <x:v>full_credited_ground_truth_coverage</x:v>
      </x:c>
      <x:c r="F5" s="22" t="str">
        <x:v>accept</x:v>
      </x:c>
      <x:c r="G5" s="22" t="str">
        <x:v>accept</x:v>
      </x:c>
      <x:c r="H5" s="22" t="str">
        <x:v>True</x:v>
      </x:c>
      <x:c r="I5" s="22" t="str">
        <x:v>A_success_decision</x:v>
      </x:c>
      <x:c r="J5" s="22" t="str">
        <x:v>WPSeyjX1-4s:semantic_cosine_wp240_v1:8
WPSeyjX1-4s:semantic_cosine_wp240_v1:15</x:v>
      </x:c>
      <x:c r="K5" s="22" t="str">
        <x:v>The candidate excerpt directly supports the answer that a recursive function requires a base case to avoid infinite recursion.</x:v>
      </x:c>
    </x:row>
    <x:row r="6" ht="58" customHeight="1">
      <x:c r="A6" s="22" t="str">
        <x:v>mit60001-q-006</x:v>
      </x:c>
      <x:c r="B6" s="22" t="str">
        <x:v>According to the lecture, how is the efficiency of an algorithm explained?</x:v>
      </x:c>
      <x:c r="C6" s="22" t="str">
        <x:v>True</x:v>
      </x:c>
      <x:c r="D6" s="22" t="str">
        <x:v>strong_accept</x:v>
      </x:c>
      <x:c r="E6" s="22" t="str">
        <x:v>full_credited_ground_truth_coverage</x:v>
      </x:c>
      <x:c r="F6" s="22" t="str">
        <x:v>accept</x:v>
      </x:c>
      <x:c r="G6" s="22" t="str">
        <x:v>accept</x:v>
      </x:c>
      <x:c r="H6" s="22" t="str">
        <x:v>True</x:v>
      </x:c>
      <x:c r="I6" s="22" t="str">
        <x:v>A_success_decision</x:v>
      </x:c>
      <x:c r="J6" s="22" t="str">
        <x:v>o9nW0uBqvEo:semantic_cosine_wp240_v1:14</x:v>
      </x:c>
      <x:c r="K6" s="22" t="str">
        <x:v>The candidate excerpt directly supports the answer that the efficiency of an algorithm is explained by counting operations and saying how many of those operations do I use in my algorithm as a function of the size of the input.</x:v>
      </x:c>
    </x:row>
    <x:row r="7" ht="58" customHeight="1">
      <x:c r="A7" s="22" t="str">
        <x:v>mit60001-q-007</x:v>
      </x:c>
      <x:c r="B7" s="22" t="str">
        <x:v>What value is bound to a name after an assignment statement is evaluated?</x:v>
      </x:c>
      <x:c r="C7" s="22" t="str">
        <x:v>True</x:v>
      </x:c>
      <x:c r="D7" s="22" t="str">
        <x:v>strong_reject</x:v>
      </x:c>
      <x:c r="E7" s="22" t="str">
        <x:v>retrieval_miss_no_credited_evidence_in_top3</x:v>
      </x:c>
      <x:c r="F7" s="22" t="str">
        <x:v>reject</x:v>
      </x:c>
      <x:c r="G7" s="22" t="str">
        <x:v>accept</x:v>
      </x:c>
      <x:c r="H7" s="22" t="str">
        <x:v>False</x:v>
      </x:c>
      <x:c r="I7" s="22" t="str">
        <x:v>D_potential_false_accept</x:v>
      </x:c>
      <x:c r="J7" s="22" t="str">
        <x:v>nykOeWgQcHM:semantic_cosine_wp240_v1:53</x:v>
      </x:c>
      <x:c r="K7" s="22" t="str">
        <x:v>The candidate excerpt directly supports the answer that the value bound to a name after an assignment statement is evaluated.</x:v>
      </x:c>
    </x:row>
    <x:row r="8" ht="58" customHeight="1">
      <x:c r="A8" s="22" t="str">
        <x:v>mit60001-q-009</x:v>
      </x:c>
      <x:c r="B8" s="22" t="str">
        <x:v>According to the course, how are local variables created and used during a function call?</x:v>
      </x:c>
      <x:c r="C8" s="22" t="str">
        <x:v>True</x:v>
      </x:c>
      <x:c r="D8" s="22" t="str">
        <x:v>strong_accept</x:v>
      </x:c>
      <x:c r="E8" s="22" t="str">
        <x:v>full_credited_ground_truth_coverage</x:v>
      </x:c>
      <x:c r="F8" s="22" t="str">
        <x:v>accept</x:v>
      </x:c>
      <x:c r="G8" s="22" t="str">
        <x:v>reject</x:v>
      </x:c>
      <x:c r="H8" s="22" t="str">
        <x:v>False</x:v>
      </x:c>
      <x:c r="I8" s="22" t="str">
        <x:v>B_reviewer_false_reject</x:v>
      </x:c>
      <x:c r="J8" s="22" t="str"/>
      <x:c r="K8" s="22" t="str">
        <x:v>None of the candidate excerpts directly answer the question about how local variables are created and used during a function call.</x:v>
      </x:c>
    </x:row>
    <x:row r="9" ht="58" customHeight="1">
      <x:c r="A9" s="22" t="str">
        <x:v>mit60001-q-010</x:v>
      </x:c>
      <x:c r="B9" s="22" t="str">
        <x:v>What is the difference between mutable and immutable objects?</x:v>
      </x:c>
      <x:c r="C9" s="22" t="str">
        <x:v>True</x:v>
      </x:c>
      <x:c r="D9" s="22" t="str">
        <x:v>strong_reject</x:v>
      </x:c>
      <x:c r="E9" s="22" t="str">
        <x:v>retrieval_miss_no_credited_evidence_in_top3</x:v>
      </x:c>
      <x:c r="F9" s="22" t="str">
        <x:v>reject</x:v>
      </x:c>
      <x:c r="G9" s="22" t="str">
        <x:v>accept</x:v>
      </x:c>
      <x:c r="H9" s="22" t="str">
        <x:v>False</x:v>
      </x:c>
      <x:c r="I9" s="22" t="str">
        <x:v>D_potential_false_accept</x:v>
      </x:c>
      <x:c r="J9" s="22" t="str">
        <x:v>RvRKT-jXvko:semantic_cosine_wp240_v1:43</x:v>
      </x:c>
      <x:c r="K9" s="22" t="str">
        <x:v>The candidate excerpt directly supports the answer that lists are mutable, as stated in the chunk_id 'RvRKT-jXvko:semantic_cosine_wp240_v1:43' and 'RvRKT-jXvko:semantic_cosine_wp240_v1:43'.</x:v>
      </x:c>
    </x:row>
    <x:row r="10" ht="58" customHeight="1">
      <x:c r="A10" s="22" t="str">
        <x:v>mit60001-q-012</x:v>
      </x:c>
      <x:c r="B10" s="22" t="str">
        <x:v>How would I use asyncio to run several network requests concurrently in Python?</x:v>
      </x:c>
      <x:c r="C10" s="22" t="str">
        <x:v>False</x:v>
      </x:c>
      <x:c r="D10" s="22" t="str">
        <x:v>strong_reject</x:v>
      </x:c>
      <x:c r="E10" s="22" t="str">
        <x:v>out_of_scope</x:v>
      </x:c>
      <x:c r="F10" s="22" t="str">
        <x:v>reject</x:v>
      </x:c>
      <x:c r="G10" s="22" t="str">
        <x:v>reject</x:v>
      </x:c>
      <x:c r="H10" s="22" t="str">
        <x:v>True</x:v>
      </x:c>
      <x:c r="I10" s="22" t="str">
        <x:v>out_of_scope_correct_reject</x:v>
      </x:c>
      <x:c r="J10" s="22" t="str"/>
      <x:c r="K10" s="22" t="str">
        <x:v>None of the candidate excerpts directly address how to use asyncio to run several network requests concurrently in Python.</x:v>
      </x:c>
    </x:row>
    <x:row r="11" ht="58" customHeight="1">
      <x:c r="A11" s="22" t="str">
        <x:v>mit60001-q-013</x:v>
      </x:c>
      <x:c r="B11" s="22" t="str">
        <x:v>How do I deploy a Python web application to Kubernetes?</x:v>
      </x:c>
      <x:c r="C11" s="22" t="str">
        <x:v>False</x:v>
      </x:c>
      <x:c r="D11" s="22" t="str">
        <x:v>strong_reject</x:v>
      </x:c>
      <x:c r="E11" s="22" t="str">
        <x:v>out_of_scope</x:v>
      </x:c>
      <x:c r="F11" s="22" t="str">
        <x:v>reject</x:v>
      </x:c>
      <x:c r="G11" s="22" t="str">
        <x:v>reject</x:v>
      </x:c>
      <x:c r="H11" s="22" t="str">
        <x:v>True</x:v>
      </x:c>
      <x:c r="I11" s="22" t="str">
        <x:v>out_of_scope_correct_reject</x:v>
      </x:c>
      <x:c r="J11" s="22" t="str"/>
      <x:c r="K11" s="22" t="str">
        <x:v>The provided candidate excerpts do not address the question of deploying a Python web application to Kubernetes.</x:v>
      </x:c>
    </x:row>
    <x:row r="12" ht="58" customHeight="1">
      <x:c r="A12" s="22" t="str">
        <x:v>mit60001-q-014</x:v>
      </x:c>
      <x:c r="B12" s="22" t="str">
        <x:v>What is the difference between a Python list and a dictionary?</x:v>
      </x:c>
      <x:c r="C12" s="22" t="str">
        <x:v>True</x:v>
      </x:c>
      <x:c r="D12" s="22" t="str">
        <x:v>strong_reject</x:v>
      </x:c>
      <x:c r="E12" s="22" t="str">
        <x:v>retrieval_miss_no_credited_evidence_in_top3</x:v>
      </x:c>
      <x:c r="F12" s="22" t="str">
        <x:v>reject</x:v>
      </x:c>
      <x:c r="G12" s="22" t="str">
        <x:v>accept</x:v>
      </x:c>
      <x:c r="H12" s="22" t="str">
        <x:v>False</x:v>
      </x:c>
      <x:c r="I12" s="22" t="str">
        <x:v>D_potential_false_accept</x:v>
      </x:c>
      <x:c r="J12" s="22" t="str">
        <x:v>RvRKT-jXvko:semantic_cosine_wp240_v1:24</x:v>
      </x:c>
      <x:c r="K12" s="22" t="str">
        <x:v>The candidate excerpt directly supports the answer that lists are mutable objects.</x:v>
      </x:c>
    </x:row>
    <x:row r="13" ht="58" customHeight="1">
      <x:c r="A13" s="22" t="str">
        <x:v>mit60001-q-015</x:v>
      </x:c>
      <x:c r="B13" s="22" t="str">
        <x:v>According to the course, how is using the shell different from using the editor?</x:v>
      </x:c>
      <x:c r="C13" s="22" t="str">
        <x:v>True</x:v>
      </x:c>
      <x:c r="D13" s="22" t="str">
        <x:v>strong_accept</x:v>
      </x:c>
      <x:c r="E13" s="22" t="str">
        <x:v>full_credited_ground_truth_coverage</x:v>
      </x:c>
      <x:c r="F13" s="22" t="str">
        <x:v>accept</x:v>
      </x:c>
      <x:c r="G13" s="22" t="str">
        <x:v>accept</x:v>
      </x:c>
      <x:c r="H13" s="22" t="str">
        <x:v>True</x:v>
      </x:c>
      <x:c r="I13" s="22" t="str">
        <x:v>A_success_decision</x:v>
      </x:c>
      <x:c r="J13" s="22" t="str">
        <x:v>nykOeWgQcHM:semantic_cosine_wp240_v1:39</x:v>
      </x:c>
      <x:c r="K13" s="22" t="str">
        <x:v>The candidate excerpt directly supports the answer that using the shell is different from using the editor in that shell commands are simple and used for testing, while editor commands are more lines and complicated programs.</x:v>
      </x:c>
    </x:row>
    <x:row r="14" ht="58" customHeight="1">
      <x:c r="A14" s="22" t="str">
        <x:v>mit60001-q-016</x:v>
      </x:c>
      <x:c r="B14" s="22" t="str">
        <x:v>According to the course, what does an assertion check in a program?</x:v>
      </x:c>
      <x:c r="C14" s="22" t="str">
        <x:v>True</x:v>
      </x:c>
      <x:c r="D14" s="22" t="str">
        <x:v>strong_accept</x:v>
      </x:c>
      <x:c r="E14" s="22" t="str">
        <x:v>full_credited_ground_truth_coverage</x:v>
      </x:c>
      <x:c r="F14" s="22" t="str">
        <x:v>accept</x:v>
      </x:c>
      <x:c r="G14" s="22" t="str">
        <x:v>accept</x:v>
      </x:c>
      <x:c r="H14" s="22" t="str">
        <x:v>True</x:v>
      </x:c>
      <x:c r="I14" s="22" t="str">
        <x:v>A_success_decision</x:v>
      </x:c>
      <x:c r="J14" s="22" t="str">
        <x:v>9H6muyZjms0:semantic_cosine_wp240_v1:51</x:v>
      </x:c>
      <x:c r="K14" s="22" t="str">
        <x:v>The candidate excerpt directly supports the answer that an assertion check in a program prevents the program from propagating bad values.</x:v>
      </x:c>
    </x:row>
    <x:row r="15" ht="58" customHeight="1">
      <x:c r="A15" s="22" t="str">
        <x:v>mit60001-q-018</x:v>
      </x:c>
      <x:c r="B15" s="22" t="str">
        <x:v>What does black-box testing examine according to the course?</x:v>
      </x:c>
      <x:c r="C15" s="22" t="str">
        <x:v>True</x:v>
      </x:c>
      <x:c r="D15" s="22" t="str">
        <x:v>strong_accept</x:v>
      </x:c>
      <x:c r="E15" s="22" t="str">
        <x:v>full_credited_ground_truth_coverage</x:v>
      </x:c>
      <x:c r="F15" s="22" t="str">
        <x:v>accept</x:v>
      </x:c>
      <x:c r="G15" s="22" t="str">
        <x:v>accept</x:v>
      </x:c>
      <x:c r="H15" s="22" t="str">
        <x:v>True</x:v>
      </x:c>
      <x:c r="I15" s="22" t="str">
        <x:v>A_success_decision</x:v>
      </x:c>
      <x:c r="J15" s="22" t="str">
        <x:v>9H6muyZjms0:semantic_cosine_wp240_v1:13</x:v>
      </x:c>
      <x:c r="K15" s="22" t="str">
        <x:v>The excerpt directly supports the answer that black-box testing examines the specifications of a function.</x:v>
      </x:c>
    </x:row>
    <x:row r="16" ht="58" customHeight="1">
      <x:c r="A16" s="22" t="str">
        <x:v>mit60001-q-019</x:v>
      </x:c>
      <x:c r="B16" s="22" t="str">
        <x:v>According to the lecture, what is the goal of bisection search?</x:v>
      </x:c>
      <x:c r="C16" s="22" t="str">
        <x:v>True</x:v>
      </x:c>
      <x:c r="D16" s="22" t="str">
        <x:v>strong_accept</x:v>
      </x:c>
      <x:c r="E16" s="22" t="str">
        <x:v>full_credited_ground_truth_coverage</x:v>
      </x:c>
      <x:c r="F16" s="22" t="str">
        <x:v>accept</x:v>
      </x:c>
      <x:c r="G16" s="22" t="str">
        <x:v>accept</x:v>
      </x:c>
      <x:c r="H16" s="22" t="str">
        <x:v>True</x:v>
      </x:c>
      <x:c r="I16" s="22" t="str">
        <x:v>A_success_decision</x:v>
      </x:c>
      <x:c r="J16" s="22" t="str">
        <x:v>6LOwPhPDwVc:semantic_cosine_wp240_v1:2</x:v>
      </x:c>
      <x:c r="K16" s="22" t="str">
        <x:v>The candidate excerpt directly supports the answer that the goal of bisection search is to find an item or a group of items from a collection, whether the collection is implicit or explicit.</x:v>
      </x:c>
    </x:row>
    <x:row r="17" ht="58" customHeight="1">
      <x:c r="A17" s="22" t="str">
        <x:v>mit60001-q-020</x:v>
      </x:c>
      <x:c r="B17" s="22" t="str">
        <x:v>How does the lecture use len, indexing, and slicing to inspect or extract parts of a string?</x:v>
      </x:c>
      <x:c r="C17" s="22" t="str">
        <x:v>True</x:v>
      </x:c>
      <x:c r="D17" s="22" t="str">
        <x:v>strong_accept</x:v>
      </x:c>
      <x:c r="E17" s="22" t="str">
        <x:v>full_credited_ground_truth_coverage</x:v>
      </x:c>
      <x:c r="F17" s="22" t="str">
        <x:v>accept</x:v>
      </x:c>
      <x:c r="G17" s="22" t="str">
        <x:v>accept</x:v>
      </x:c>
      <x:c r="H17" s="22" t="str">
        <x:v>True</x:v>
      </x:c>
      <x:c r="I17" s="22" t="str">
        <x:v>A_success_decision</x:v>
      </x:c>
      <x:c r="J17" s="22" t="str">
        <x:v>SE4P7IVCunE:semantic_cosine_wp240_v1:12
SE4P7IVCunE:semantic_cosine_wp240_v1:9</x:v>
      </x:c>
      <x:c r="K17" s="22" t="str">
        <x:v>The candidate excerpt directly supports the answer. The chunk_id 'SE4P7IVCunE:semantic_cosine_wp240_v1:12' mentions 'reverses the string automatically for you' which is equivalent to getting the inverse of the string, and the chunk_id 'SE4P7IVCunE:semantic_cosine_wp240_v1:9' explains how slicing works with a start, stop, and step index.</x:v>
      </x:c>
    </x:row>
    <x:row r="18" ht="58" customHeight="1">
      <x:c r="A18" s="22" t="str">
        <x:v>mit60001-q-021</x:v>
      </x:c>
      <x:c r="B18" s="22" t="str">
        <x:v>How does the course explain the role of Boolean comparisons in branching?</x:v>
      </x:c>
      <x:c r="C18" s="22" t="str">
        <x:v>True</x:v>
      </x:c>
      <x:c r="D18" s="22" t="str">
        <x:v>strong_accept</x:v>
      </x:c>
      <x:c r="E18" s="22" t="str">
        <x:v>full_credited_ground_truth_coverage</x:v>
      </x:c>
      <x:c r="F18" s="22" t="str">
        <x:v>accept</x:v>
      </x:c>
      <x:c r="G18" s="22" t="str">
        <x:v>reject</x:v>
      </x:c>
      <x:c r="H18" s="22" t="str">
        <x:v>False</x:v>
      </x:c>
      <x:c r="I18" s="22" t="str">
        <x:v>B_reviewer_false_reject</x:v>
      </x:c>
      <x:c r="J18" s="22" t="str"/>
      <x:c r="K18" s="22" t="str">
        <x:v>None of the candidate excerpts directly explain the role of Boolean comparisons in branching.</x:v>
      </x:c>
    </x:row>
    <x:row r="19" ht="58" customHeight="1">
      <x:c r="A19" s="22" t="str">
        <x:v>mit60001-q-025</x:v>
      </x:c>
      <x:c r="B19" s="22" t="str">
        <x:v>How does the course explain the role of inheritance in object-oriented programming?</x:v>
      </x:c>
      <x:c r="C19" s="22" t="str">
        <x:v>True</x:v>
      </x:c>
      <x:c r="D19" s="22" t="str">
        <x:v>strong_accept</x:v>
      </x:c>
      <x:c r="E19" s="22" t="str">
        <x:v>full_credited_ground_truth_coverage</x:v>
      </x:c>
      <x:c r="F19" s="22" t="str">
        <x:v>accept</x:v>
      </x:c>
      <x:c r="G19" s="22" t="str">
        <x:v>reject</x:v>
      </x:c>
      <x:c r="H19" s="22" t="str">
        <x:v>False</x:v>
      </x:c>
      <x:c r="I19" s="22" t="str">
        <x:v>B_reviewer_false_reject</x:v>
      </x:c>
      <x:c r="J19" s="22" t="str"/>
      <x:c r="K19" s="22" t="str">
        <x:v>The provided excerpts do not directly explain the role of inheritance in object-oriented programming.</x:v>
      </x:c>
    </x:row>
    <x:row r="20" ht="58" customHeight="1">
      <x:c r="A20" s="22" t="str">
        <x:v>mit60001-q-027</x:v>
      </x:c>
      <x:c r="B20" s="22" t="str">
        <x:v>How does a for loop process the characters in a string?</x:v>
      </x:c>
      <x:c r="C20" s="22" t="str">
        <x:v>True</x:v>
      </x:c>
      <x:c r="D20" s="22" t="str">
        <x:v>strong_accept</x:v>
      </x:c>
      <x:c r="E20" s="22" t="str">
        <x:v>full_credited_ground_truth_coverage</x:v>
      </x:c>
      <x:c r="F20" s="22" t="str">
        <x:v>accept</x:v>
      </x:c>
      <x:c r="G20" s="22" t="str">
        <x:v>accept</x:v>
      </x:c>
      <x:c r="H20" s="22" t="str">
        <x:v>True</x:v>
      </x:c>
      <x:c r="I20" s="22" t="str">
        <x:v>A_success_decision</x:v>
      </x:c>
      <x:c r="J20" s="22" t="str">
        <x:v>SE4P7IVCunE:semantic_cosine_wp240_v1:21</x:v>
      </x:c>
      <x:c r="K20" s="22" t="str">
        <x:v>The candidate excerpt directly supports the answer that a for loop processes the characters in a string by iterating over every character in the string, as shown in the example 'char is going to be a letter. It's going to be a letter. So here's a more complicated example.'</x:v>
      </x:c>
    </x:row>
    <x:row r="21" ht="58" customHeight="1">
      <x:c r="A21" s="22" t="str">
        <x:v>mit60001-q-029</x:v>
      </x:c>
      <x:c r="B21" s="22" t="str">
        <x:v>How does a function return a value to its caller?</x:v>
      </x:c>
      <x:c r="C21" s="22" t="str">
        <x:v>True</x:v>
      </x:c>
      <x:c r="D21" s="22" t="str">
        <x:v>strong_accept</x:v>
      </x:c>
      <x:c r="E21" s="22" t="str">
        <x:v>full_credited_ground_truth_coverage</x:v>
      </x:c>
      <x:c r="F21" s="22" t="str">
        <x:v>accept</x:v>
      </x:c>
      <x:c r="G21" s="22" t="str">
        <x:v>accept</x:v>
      </x:c>
      <x:c r="H21" s="22" t="str">
        <x:v>True</x:v>
      </x:c>
      <x:c r="I21" s="22" t="str">
        <x:v>A_success_decision</x:v>
      </x:c>
      <x:c r="J21" s="22" t="str">
        <x:v>MjbuarJ7SE0:semantic_cosine_wp240_v1:27</x:v>
      </x:c>
      <x:c r="K21" s="22" t="str">
        <x:v>The candidate excerpt at rank 1 directly supports the answer. It explains how a function returns a value to its caller by stating 'so we're returning x' and 'so in the scope of f, x is equal to 4, so we're returning that value back to whoever called it'.</x:v>
      </x:c>
    </x:row>
    <x:row r="22" ht="58" customHeight="1">
      <x:c r="A22" s="22" t="str">
        <x:v>mit60001-q-030</x:v>
      </x:c>
      <x:c r="B22" s="22" t="str">
        <x:v>What role does self play when a method is called on an object?</x:v>
      </x:c>
      <x:c r="C22" s="22" t="str">
        <x:v>True</x:v>
      </x:c>
      <x:c r="D22" s="22" t="str">
        <x:v>strong_accept</x:v>
      </x:c>
      <x:c r="E22" s="22" t="str">
        <x:v>full_credited_ground_truth_coverage</x:v>
      </x:c>
      <x:c r="F22" s="22" t="str">
        <x:v>accept</x:v>
      </x:c>
      <x:c r="G22" s="22" t="str">
        <x:v>accept</x:v>
      </x:c>
      <x:c r="H22" s="22" t="str">
        <x:v>True</x:v>
      </x:c>
      <x:c r="I22" s="22" t="str">
        <x:v>A_success_decision</x:v>
      </x:c>
      <x:c r="J22" s="22" t="str">
        <x:v>-DP1i2ZU9gk:semantic_cosine_wp240_v1:21
-DP1i2ZU9gk:semantic_cosine_wp240_v1:22
FlGjISF3l78:semantic_cosine_wp240_v1:5</x:v>
      </x:c>
      <x:c r="K22" s="22" t="str">
        <x:v>The candidate excerpt directly supports the answer that 'self' plays the role of a placeholder for any sort of instance when creating an object, and is used to refer to attributes and methods of an instance.</x:v>
      </x:c>
    </x:row>
    <x:row r="23" ht="58" customHeight="1">
      <x:c r="A23" s="22" t="str">
        <x:v>mit60001-q-033</x:v>
      </x:c>
      <x:c r="B23" s="22" t="str">
        <x:v>How does the course connect decomposition and abstraction when building programs with functions?</x:v>
      </x:c>
      <x:c r="C23" s="22" t="str">
        <x:v>True</x:v>
      </x:c>
      <x:c r="D23" s="22" t="str">
        <x:v>strong_accept</x:v>
      </x:c>
      <x:c r="E23" s="22" t="str">
        <x:v>full_credited_ground_truth_coverage</x:v>
      </x:c>
      <x:c r="F23" s="22" t="str">
        <x:v>accept</x:v>
      </x:c>
      <x:c r="G23" s="22" t="str">
        <x:v>accept</x:v>
      </x:c>
      <x:c r="H23" s="22" t="str">
        <x:v>True</x:v>
      </x:c>
      <x:c r="I23" s="22" t="str">
        <x:v>A_success_decision</x:v>
      </x:c>
      <x:c r="J23" s="22" t="str">
        <x:v>MjbuarJ7SE0:semantic_cosine_wp240_v1:13</x:v>
      </x:c>
      <x:c r="K23" s="22" t="str">
        <x:v>The candidate excerpt at rank 2 directly supports the answer. It explains how abstraction is used in programming by suppressing details, allowing for reusable code and reducing debugging time.</x:v>
      </x:c>
    </x:row>
    <x:row r="24" ht="58" customHeight="1">
      <x:c r="A24" s="22" t="str">
        <x:v>mit60001-q-038</x:v>
      </x:c>
      <x:c r="B24" s="22" t="str">
        <x:v>How does the requirement for sorted input distinguish binary search from linear search?</x:v>
      </x:c>
      <x:c r="C24" s="22" t="str">
        <x:v>True</x:v>
      </x:c>
      <x:c r="D24" s="22" t="str">
        <x:v>strong_reject</x:v>
      </x:c>
      <x:c r="E24" s="22" t="str">
        <x:v>retrieval_miss_no_credited_evidence_in_top3</x:v>
      </x:c>
      <x:c r="F24" s="22" t="str">
        <x:v>reject</x:v>
      </x:c>
      <x:c r="G24" s="22" t="str">
        <x:v>accept</x:v>
      </x:c>
      <x:c r="H24" s="22" t="str">
        <x:v>False</x:v>
      </x:c>
      <x:c r="I24" s="22" t="str">
        <x:v>D_potential_false_accept</x:v>
      </x:c>
      <x:c r="J24" s="22" t="str">
        <x:v>6LOwPhPDwVc:semantic_cosine_wp240_v1:14</x:v>
      </x:c>
      <x:c r="K24" s="22" t="str">
        <x:v>The candidate excerpt directly supports the answer by explaining that the requirement for sorted input distinguishes binary search from linear search, as binary search can be done in log time, whereas linear search has a linear time complexity.</x:v>
      </x:c>
    </x:row>
    <x:row r="25" ht="58" customHeight="1">
      <x:c r="A25" s="22" t="str">
        <x:v>mit60001-q-039</x:v>
      </x:c>
      <x:c r="B25" s="22" t="str">
        <x:v>How does the course distinguish black-box testing from glass-box testing?</x:v>
      </x:c>
      <x:c r="C25" s="22" t="str">
        <x:v>True</x:v>
      </x:c>
      <x:c r="D25" s="22" t="str">
        <x:v>strong_accept</x:v>
      </x:c>
      <x:c r="E25" s="22" t="str">
        <x:v>full_credited_ground_truth_coverage</x:v>
      </x:c>
      <x:c r="F25" s="22" t="str">
        <x:v>accept</x:v>
      </x:c>
      <x:c r="G25" s="22" t="str">
        <x:v>accept</x:v>
      </x:c>
      <x:c r="H25" s="22" t="str">
        <x:v>True</x:v>
      </x:c>
      <x:c r="I25" s="22" t="str">
        <x:v>A_success_decision</x:v>
      </x:c>
      <x:c r="J25" s="22" t="str">
        <x:v>9H6muyZjms0:semantic_cosine_wp240_v1:13
9H6muyZjms0:semantic_cosine_wp240_v1:15</x:v>
      </x:c>
      <x:c r="K25" s="22" t="str">
        <x:v>The candidate excerpt directly supports the answer to the question 'How does the course distinguish black-box testing from glass-box testing?' by explaining the key differences between the two testing methods: black box testing relies on specifications, while glass box testing uses the code itself to guide test cases.</x:v>
      </x:c>
    </x:row>
    <x:row r="26" ht="58" customHeight="1">
      <x:c r="A26" s="22" t="str">
        <x:v>mit60001-q-040</x:v>
      </x:c>
      <x:c r="B26" s="22" t="str">
        <x:v>How does the course distinguish an exception from an assertion failure?</x:v>
      </x:c>
      <x:c r="C26" s="22" t="str">
        <x:v>True</x:v>
      </x:c>
      <x:c r="D26" s="22" t="str">
        <x:v>strong_reject</x:v>
      </x:c>
      <x:c r="E26" s="22" t="str">
        <x:v>retrieval_miss_no_credited_evidence_in_top3</x:v>
      </x:c>
      <x:c r="F26" s="22" t="str">
        <x:v>reject</x:v>
      </x:c>
      <x:c r="G26" s="22" t="str">
        <x:v>accept</x:v>
      </x:c>
      <x:c r="H26" s="22" t="str">
        <x:v>False</x:v>
      </x:c>
      <x:c r="I26" s="22" t="str">
        <x:v>D_potential_false_accept</x:v>
      </x:c>
      <x:c r="J26" s="22" t="str">
        <x:v>9H6muyZjms0:semantic_cosine_wp240_v1:51</x:v>
      </x:c>
      <x:c r="K26" s="22" t="str">
        <x:v>The candidate excerpt directly supports the answer by explaining that assertions are used to make sure that the assumptions on computations are exactly what the function expects them to be, and that if an assertion becomes false, the function will immediately terminate.</x:v>
      </x:c>
    </x:row>
    <x:row r="27" ht="58" customHeight="1">
      <x:c r="A27" s="22" t="str">
        <x:v>mit60001-q-042</x:v>
      </x:c>
      <x:c r="B27" s="22" t="str">
        <x:v>How do Python type hints work in a FastAPI endpoint?</x:v>
      </x:c>
      <x:c r="C27" s="22" t="str">
        <x:v>False</x:v>
      </x:c>
      <x:c r="D27" s="22" t="str">
        <x:v>strong_reject</x:v>
      </x:c>
      <x:c r="E27" s="22" t="str">
        <x:v>out_of_scope</x:v>
      </x:c>
      <x:c r="F27" s="22" t="str">
        <x:v>reject</x:v>
      </x:c>
      <x:c r="G27" s="22" t="str">
        <x:v>reject</x:v>
      </x:c>
      <x:c r="H27" s="22" t="str">
        <x:v>True</x:v>
      </x:c>
      <x:c r="I27" s="22" t="str">
        <x:v>out_of_scope_correct_reject</x:v>
      </x:c>
      <x:c r="J27" s="22" t="str"/>
      <x:c r="K27" s="22" t="str">
        <x:v>The provided excerpts do not directly address the question of how Python type hints work in a FastAPI endpoint.</x:v>
      </x:c>
    </x:row>
    <x:row r="28" ht="58" customHeight="1">
      <x:c r="A28" s="22" t="str">
        <x:v>mit60001-q-043</x:v>
      </x:c>
      <x:c r="B28" s="22" t="str">
        <x:v>How do I train a transformer model with PyTorch?</x:v>
      </x:c>
      <x:c r="C28" s="22" t="str">
        <x:v>False</x:v>
      </x:c>
      <x:c r="D28" s="22" t="str">
        <x:v>strong_reject</x:v>
      </x:c>
      <x:c r="E28" s="22" t="str">
        <x:v>out_of_scope</x:v>
      </x:c>
      <x:c r="F28" s="22" t="str">
        <x:v>reject</x:v>
      </x:c>
      <x:c r="G28" s="22" t="str">
        <x:v>reject</x:v>
      </x:c>
      <x:c r="H28" s="22" t="str">
        <x:v>True</x:v>
      </x:c>
      <x:c r="I28" s="22" t="str">
        <x:v>out_of_scope_correct_reject</x:v>
      </x:c>
      <x:c r="J28" s="22" t="str"/>
      <x:c r="K28" s="22" t="str">
        <x:v>None of the candidate excerpts provide information on how to train a transformer model with PyTorch.</x:v>
      </x:c>
    </x:row>
    <x:row r="29" ht="58" customHeight="1">
      <x:c r="A29" s="23" t="str">
        <x:v>mit60001-q-044</x:v>
      </x:c>
      <x:c r="B29" s="23" t="str">
        <x:v>How do I provision cloud infrastructure with Terraform?</x:v>
      </x:c>
      <x:c r="C29" s="23" t="str">
        <x:v>False</x:v>
      </x:c>
      <x:c r="D29" s="23" t="str">
        <x:v>strong_reject</x:v>
      </x:c>
      <x:c r="E29" s="23" t="str">
        <x:v>out_of_scope</x:v>
      </x:c>
      <x:c r="F29" s="23" t="str">
        <x:v>reject</x:v>
      </x:c>
      <x:c r="G29" s="23" t="str">
        <x:v>reject</x:v>
      </x:c>
      <x:c r="H29" s="23" t="str">
        <x:v>True</x:v>
      </x:c>
      <x:c r="I29" s="23" t="str">
        <x:v>out_of_scope_correct_reject</x:v>
      </x:c>
      <x:c r="J29" s="23" t="str"/>
      <x:c r="K29" s="23" t="str">
        <x:v>None of the candidate excerpts directly address how to provision cloud infrastructure with Terraform.</x:v>
      </x:c>
    </x:row>
  </x:sheetData>
  <x:conditionalFormatting sqref="H2:H29">
    <x:cfRule type="containsText" dxfId="0" priority="1" operator="containsText" text="False"/>
  </x:conditionalFormatting>
  <x:pageMargins left="0.7" right="0.7" top="0.75" bottom="0.75" header="0.3" footer="0.3"/>
  <x:tableParts count="1">
    <x:tablePart xmlns:r="http://schemas.openxmlformats.org/officeDocument/2006/relationships" r:id="Rb6753fc5b6c94f6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24" hidden="0" customWidth="1"/>
    <x:col min="4" max="4" width="44" hidden="0" customWidth="1"/>
    <x:col min="5" max="5" width="55" hidden="0" customWidth="1"/>
    <x:col min="6" max="6" width="38" hidden="0" customWidth="1"/>
    <x:col min="7" max="7" width="14" hidden="0" customWidth="1"/>
    <x:col min="8" max="8" width="44" hidden="0" customWidth="1"/>
    <x:col min="9" max="9" width="44" hidden="0" customWidth="1"/>
    <x:col min="10" max="10" width="68" hidden="0" customWidth="1"/>
    <x:col min="11" max="11" width="68" hidden="0" customWidth="1"/>
    <x:col min="12" max="12" width="68"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s>
  <x:sheetData>
    <x:row r="1" ht="34" customHeight="1">
      <x:c r="A1" s="13" t="str">
        <x:v>question_id</x:v>
      </x:c>
      <x:c r="B1" s="61" t="str">
        <x:v>audit_flag</x:v>
      </x:c>
      <x:c r="C1" s="61" t="str">
        <x:v>credited_evidence_status</x:v>
      </x:c>
      <x:c r="D1" s="61" t="str">
        <x:v>question</x:v>
      </x:c>
      <x:c r="E1" s="61" t="str">
        <x:v>expected_answer_points</x:v>
      </x:c>
      <x:c r="F1" s="61" t="str">
        <x:v>relevant_time_ranges</x:v>
      </x:c>
      <x:c r="G1" s="61" t="str">
        <x:v>model_decision</x:v>
      </x:c>
      <x:c r="H1" s="61" t="str">
        <x:v>model_reason</x:v>
      </x:c>
      <x:c r="I1" s="61" t="str">
        <x:v>model_supporting_chunk_ids</x:v>
      </x:c>
      <x:c r="J1" s="61" t="str">
        <x:v>candidate_1</x:v>
      </x:c>
      <x:c r="K1" s="61" t="str">
        <x:v>candidate_2</x:v>
      </x:c>
      <x:c r="L1" s="61" t="str">
        <x:v>candidate_3</x:v>
      </x:c>
      <x:c r="M1" s="61" t="str">
        <x:v>human_top3_sufficiency</x:v>
      </x:c>
      <x:c r="N1" s="61" t="str">
        <x:v>human_reviewer_decision_correct</x:v>
      </x:c>
      <x:c r="O1" s="61" t="str">
        <x:v>human_supporting_evidence_correct</x:v>
      </x:c>
      <x:c r="P1" s="61" t="str">
        <x:v>human_final_classification</x:v>
      </x:c>
      <x:c r="Q1" s="61" t="str">
        <x:v>human_notes</x:v>
      </x:c>
      <x:c r="R1" s="14" t="str">
        <x:v>human_review_status</x:v>
      </x:c>
    </x:row>
    <x:row r="2" ht="150" customHeight="1">
      <x:c r="A2" s="21" t="str">
        <x:v>mit60001-q-001</x:v>
      </x:c>
      <x:c r="B2" s="21" t="str"/>
      <x:c r="C2" s="21" t="str">
        <x:v>partial_coverage_in_top3</x:v>
      </x:c>
      <x:c r="D2" s="21" t="str">
        <x:v>According to the course introduction, what learning goals are introduced for students?</x:v>
      </x:c>
      <x:c r="E2" s="21"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2" s="21" t="str">
        <x:v>[{"end_second":162.967,"start_second":129.21,"video_id":"nykOeWgQcHM"},{"end_second":250.841,"start_second":219.743,"video_id":"nykOeWgQcHM"},{"end_second":281.65,"start_second":250.841,"video_id":"nykOeWgQcHM"},{"end_second":2899.67,"start_second":2870.01,"video_id":"6LOwPhPDwVc"}]</x:v>
      </x:c>
      <x:c r="G2" s="21" t="str">
        <x:v>reject</x:v>
      </x:c>
      <x:c r="H2" s="21" t="str">
        <x:v>The provided excerpts do not directly address the learning goals introduced for students.</x:v>
      </x:c>
      <x:c r="I2" s="21" t="str"/>
      <x:c r="J2" s="21" t="str">
        <x:v>rank=1
chunk_id=nykOeWgQcHM:semantic_cosine_wp240_v1:6
citation=https://www.youtube.com/watch?v=nykOeWgQcHM&amp;t=261s
GT time overlap (audit signal only)=True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c r="K2" s="21" t="str">
        <x:v>rank=2
chunk_id=nykOeWgQcHM:semantic_cosine_wp240_v1:3
citation=https://www.youtube.com/watch?v=nykOeWgQcHM&amp;t=127s
GT time overlap (audit signal only)=True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x:v>
      </x:c>
      <x:c r="L2" s="21" t="str">
        <x:v>rank=3
chunk_id=nykOeWgQcHM:semantic_cosine_wp240_v1:7
citation=https://www.youtube.com/watch?v=nykOeWgQcHM&amp;t=306s
GT time overlap (audit signal only)=False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c r="M2" s="96" t="str">
        <x:v>insufficient</x:v>
      </x:c>
      <x:c r="N2" s="96" t="str">
        <x:v>yes</x:v>
      </x:c>
      <x:c r="O2" s="96" t="str">
        <x:v>not_applicable</x:v>
      </x:c>
      <x:c r="P2" s="96" t="str">
        <x:v>C_correct_abstention</x:v>
      </x:c>
      <x:c r="Q2" s="96" t="str">
        <x:v>Top 3 covers sustained programming practice, early problem-set reading/terminology, and general programming goals, but it does not provide the recursive problem-solving goal in the expected points. Reject is justified for full-answer sufficiency.</x:v>
      </x:c>
      <x:c r="R2" s="96" t="str">
        <x:v>reviewed</x:v>
      </x:c>
    </x:row>
    <x:row r="3" ht="150" customHeight="1">
      <x:c r="A3" s="22" t="str">
        <x:v>mit60001-q-008</x:v>
      </x:c>
      <x:c r="B3" s="22" t="str"/>
      <x:c r="C3" s="22" t="str">
        <x:v>partial_coverage_in_top3</x:v>
      </x:c>
      <x:c r="D3" s="22" t="str">
        <x:v>Why can rebinding a variable name leave the previous object unchanged?</x:v>
      </x:c>
      <x:c r="E3" s="22" t="str">
        <x:v>- A variable name is a handle or binding used to access an object.
- Rebinding the name to a new value removes the old binding but does not change the previous object; the old object can remain in memory without that handle.</x:v>
      </x:c>
      <x:c r="F3" s="22" t="str">
        <x:v>[{"end_second":2506.77,"start_second":2468.31,"video_id":"nykOeWgQcHM"},{"end_second":696.34,"start_second":661.98,"video_id":"SE4P7IVCunE"}]</x:v>
      </x:c>
      <x:c r="G3" s="22" t="str">
        <x:v>accept</x:v>
      </x:c>
      <x:c r="H3" s="22" t="str">
        <x:v>The candidate excerpt directly supports the answer that rebinding a variable name leaves the previous object unchanged. The excerpt states,</x:v>
      </x:c>
      <x:c r="I3" s="22" t="str">
        <x:v>nykOeWgQcHM:semantic_cosine_wp240_v1:55</x:v>
      </x:c>
      <x:c r="J3" s="22" t="str">
        <x:v>rank=1
chunk_id=MjbuarJ7SE0:semantic_cosine_wp240_v1:41
citation=https://www.youtube.com/watch?v=MjbuarJ7SE0&amp;t=1837s
GT time overlap (audit signal only)=False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x:v>
      </x:c>
      <x:c r="K3" s="22" t="str">
        <x:v>rank=2
chunk_id=nykOeWgQcHM:semantic_cosine_wp240_v1:55
citation=https://www.youtube.com/watch?v=nykOeWgQcHM&amp;t=2461s
GT time overlap (audit signal only)=True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x:v>
      </x:c>
      <x:c r="L3" s="22" t="str">
        <x:v>rank=3
chunk_id=FlGjISF3l78:semantic_cosine_wp240_v1:57
citation=https://www.youtube.com/watch?v=FlGjISF3l78&amp;t=2368s
GT time overlap (audit signal only)=False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
All right, there--
that's a sad rabbit, r2.
The ID of r2 is
going to be what?
Well, according to the way
we create a new Rabbit object</x:v>
      </x:c>
      <x:c r="M3" s="97" t="str">
        <x:v>sufficient</x:v>
      </x:c>
      <x:c r="N3" s="97" t="str">
        <x:v>yes</x:v>
      </x:c>
      <x:c r="O3" s="97" t="str">
        <x:v>yes</x:v>
      </x:c>
      <x:c r="P3" s="97" t="str">
        <x:v>A_success</x:v>
      </x:c>
      <x:c r="Q3" s="97" t="str">
        <x:v>Candidate 2 directly explains rebinding: the old binding is removed, the new value is rebound to the name, and the previous object/value remains in memory without a handle.</x:v>
      </x:c>
      <x:c r="R3" s="97" t="str">
        <x:v>reviewed</x:v>
      </x:c>
    </x:row>
    <x:row r="4" ht="150" customHeight="1">
      <x:c r="A4" s="22" t="str">
        <x:v>mit60001-q-017</x:v>
      </x:c>
      <x:c r="B4" s="22" t="str"/>
      <x:c r="C4" s="22" t="str">
        <x:v>partial_coverage_in_top3</x:v>
      </x:c>
      <x:c r="D4" s="22" t="str">
        <x:v>What does the course say is the purpose of exception handling?</x:v>
      </x:c>
      <x:c r="E4" s="22" t="str">
        <x:v>- Exception handling catches an error that would otherwise raise an exception and interrupt normal execution.
- It lets the programmer respond in a controlled way, such as printing a clearer message for bad user input.
- A programmer can also raise an exception deliberately to signal an error condition and direct later control flow.</x:v>
      </x:c>
      <x:c r="F4" s="22" t="str">
        <x:v>[{"end_second":1510.09,"start_second":1461.39,"video_id":"9H6muyZjms0"},{"end_second":1842.452,"start_second":1799.8,"video_id":"9H6muyZjms0"}]</x:v>
      </x:c>
      <x:c r="G4" s="22" t="str">
        <x:v>accept</x:v>
      </x:c>
      <x:c r="H4" s="22" t="str">
        <x:v>The candidate excerpt directly supports the answer that exception handling is used for testing and debugging.</x:v>
      </x:c>
      <x:c r="I4" s="22" t="str">
        <x:v>9H6muyZjms0:semantic_cosine_wp240_v1:31</x:v>
      </x:c>
      <x:c r="J4" s="22" t="str">
        <x:v>rank=1
chunk_id=9H6muyZjms0:semantic_cosine_wp240_v1:31
citation=https://www.youtube.com/watch?v=9H6muyZjms0&amp;t=1286s
GT time overlap (audit signal only)=False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c r="K4" s="22" t="str">
        <x:v>rank=2
chunk_id=9H6muyZjms0:semantic_cosine_wp240_v1:37
citation=https://www.youtube.com/watch?v=9H6muyZjms0&amp;t=1605s
GT time overlap (audit signal only)=False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x:v>
      </x:c>
      <x:c r="L4" s="22" t="str">
        <x:v>rank=3
chunk_id=9H6muyZjms0:semantic_cosine_wp240_v1:41
citation=https://www.youtube.com/watch?v=9H6muyZjms0&amp;t=1799s
GT time overlap (audit signal only)=True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x:v>
      </x:c>
      <x:c r="M4" s="97" t="str">
        <x:v>needs_discussion</x:v>
      </x:c>
      <x:c r="N4" s="97" t="str">
        <x:v>needs_discussion</x:v>
      </x:c>
      <x:c r="O4" s="97" t="str">
        <x:v>no</x:v>
      </x:c>
      <x:c r="P4" s="97" t="str">
        <x:v>needs_discussion</x:v>
      </x:c>
      <x:c r="Q4" s="97" t="str">
        <x:v>Top 3 explains what exceptions are, mentions try/except-related control flow, and shows deliberate raise. However, it does not clearly state the controlled handler behavior/clearer-response purpose in the expected points. The model-selected chunk 1 mainly defines an exception and program stopping.</x:v>
      </x:c>
      <x:c r="R4" s="97" t="str">
        <x:v>reviewed</x:v>
      </x:c>
    </x:row>
    <x:row r="5" ht="150" customHeight="1">
      <x:c r="A5" s="22" t="str">
        <x:v>mit60001-q-022</x:v>
      </x:c>
      <x:c r="B5" s="22" t="str"/>
      <x:c r="C5" s="22" t="str">
        <x:v>partial_coverage_in_top3</x:v>
      </x:c>
      <x:c r="D5" s="22" t="str">
        <x:v>Why is a dictionary more suitable than a list for key-value lookup?</x:v>
      </x:c>
      <x:c r="E5" s="22" t="str">
        <x:v>- A list is an ordered sequence accessed by integer indices, while a dictionary maps keys to values and is accessed by key.
- Dictionary keys must be immutable.
- List indexing goes directly to a position; dictionary lookup uses a hash-based indexing scheme and trades additional flexibility for lookup cost.</x:v>
      </x:c>
      <x:c r="F5" s="22" t="str">
        <x:v>[{"end_second":2451.17,"start_second":2418.67,"video_id":"WPSeyjX1-4s"},{"end_second":2952.358,"start_second":2926.03,"video_id":"7lQXYl_L28w"},{"end_second":2926.03,"start_second":2901.4,"video_id":"7lQXYl_L28w"}]</x:v>
      </x:c>
      <x:c r="G5" s="22" t="str">
        <x:v>accept</x:v>
      </x:c>
      <x:c r="H5" s="22" t="str">
        <x:v>The candidate excerpt directly supports the answer that a dictionary is more suitable than a list for key-value lookup because it explains that dictionaries allow for indexing by a key or label, making it easier to retrieve values associated with a particular key.</x:v>
      </x:c>
      <x:c r="I5" s="22" t="str">
        <x:v>WPSeyjX1-4s:semantic_cosine_wp240_v1:64
WPSeyjX1-4s:semantic_cosine_wp240_v1:59
7lQXYl_L28w:semantic_cosine_wp240_v1:84</x:v>
      </x:c>
      <x:c r="J5" s="22" t="str">
        <x:v>rank=1
chunk_id=WPSeyjX1-4s:semantic_cosine_wp240_v1:64
citation=https://www.youtube.com/watch?v=WPSeyjX1-4s&amp;t=2317s
GT time overlap (audit signal only)=False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x:v>
      </x:c>
      <x:c r="K5" s="22" t="str">
        <x:v>rank=2
chunk_id=WPSeyjX1-4s:semantic_cosine_wp240_v1:59
citation=https://www.youtube.com/watch?v=WPSeyjX1-4s&amp;t=2147s
GT time overlap (audit signal only)=False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x:v>
      </x:c>
      <x:c r="L5" s="22" t="str">
        <x:v>rank=3
chunk_id=7lQXYl_L28w:semantic_cosine_wp240_v1:84
citation=https://www.youtube.com/watch?v=7lQXYl_L28w&amp;t=2890s
GT time overlap (audit signal only)=True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x:v>
      </x:c>
      <x:c r="M5" s="97" t="str">
        <x:v>insufficient</x:v>
      </x:c>
      <x:c r="N5" s="97" t="str">
        <x:v>no</x:v>
      </x:c>
      <x:c r="O5" s="97" t="str">
        <x:v>no</x:v>
      </x:c>
      <x:c r="P5" s="97" t="str">
        <x:v>D_potential_false_accept</x:v>
      </x:c>
      <x:c r="Q5" s="97" t="str">
        <x:v>Candidates 2 and 3 support key-based dictionary lookup and contrast lookup cost with list indexing, but the Top 3 does not establish the immutable-key requirement or the full lookup mechanism in the expected points. Candidate 1 is not sufficient supporting evidence for the stated answer.</x:v>
      </x:c>
      <x:c r="R5" s="97" t="str">
        <x:v>reviewed</x:v>
      </x:c>
    </x:row>
    <x:row r="6" ht="150" customHeight="1">
      <x:c r="A6" s="22" t="str">
        <x:v>mit60001-q-023</x:v>
      </x:c>
      <x:c r="B6" s="22" t="str">
        <x:v>possible_ground_truth_under_credit</x:v>
      </x:c>
      <x:c r="C6" s="22" t="str">
        <x:v>no_credited_evidence_in_top3</x:v>
      </x:c>
      <x:c r="D6" s="22" t="str">
        <x:v>How does the course explain abstraction when functions are used in a program?</x:v>
      </x:c>
      <x:c r="E6" s="22" t="str">
        <x:v>- Abstraction captures a computation inside a procedure and exposes a contract.
- The caller does not need to know the procedure's internal details as long as it delivers the promised result.
- Functions also support decomposition by organizing code into coherent structural units.</x:v>
      </x:c>
      <x:c r="F6" s="22" t="str">
        <x:v>[{"end_second":2691.15,"start_second":2665.1,"video_id":"6LOwPhPDwVc"},{"end_second":548.63,"start_second":517.97,"video_id":"MjbuarJ7SE0"}]</x:v>
      </x:c>
      <x:c r="G6" s="22" t="str">
        <x:v>reject</x:v>
      </x:c>
      <x:c r="H6" s="22" t="str">
        <x:v>None of the candidate excerpts directly explain abstraction when functions are used in a program.</x:v>
      </x:c>
      <x:c r="I6" s="22" t="str"/>
      <x:c r="J6" s="22" t="str">
        <x:v>rank=1
chunk_id=RvRKT-jXvko:semantic_cosine_wp240_v1:0
citation=https://www.youtube.com/watch?v=RvRKT-jXvko&amp;t=0s
GT time overlap (audit signal only)=False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x:v>
      </x:c>
      <x:c r="K6" s="22" t="str">
        <x:v>rank=2
chunk_id=MjbuarJ7SE0:semantic_cosine_wp240_v1:54
citation=https://www.youtube.com/watch?v=MjbuarJ7SE0&amp;t=2418s
GT time overlap (audit signal only)=False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c r="L6" s="22" t="str">
        <x:v>rank=3
chunk_id=MjbuarJ7SE0:semantic_cosine_wp240_v1:6
citation=https://www.youtube.com/watch?v=MjbuarJ7SE0&amp;t=247s
GT time overlap (audit signal only)=False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c r="M6" s="97" t="str">
        <x:v>possible_gt_under_credit</x:v>
      </x:c>
      <x:c r="N6" s="97" t="str">
        <x:v>needs_discussion</x:v>
      </x:c>
      <x:c r="O6" s="97" t="str">
        <x:v>not_applicable</x:v>
      </x:c>
      <x:c r="P6" s="97" t="str">
        <x:v>benchmark_gt_issue</x:v>
      </x:c>
      <x:c r="Q6" s="97" t="str">
        <x:v>Keep the existing possible Ground Truth under-credit flag. Candidates 1 and 3 genuinely connect functions with decomposition/abstraction, structure, and reuse, but the excerpts do not fully state the abstraction contract/detail-suppression points. Do not rewrite Ground Truth in M3.</x:v>
      </x:c>
      <x:c r="R6" s="97" t="str">
        <x:v>reviewed</x:v>
      </x:c>
    </x:row>
    <x:row r="7" ht="150" customHeight="1">
      <x:c r="A7" s="22" t="str">
        <x:v>mit60001-q-026</x:v>
      </x:c>
      <x:c r="B7" s="22" t="str"/>
      <x:c r="C7" s="22" t="str">
        <x:v>partial_coverage_in_top3</x:v>
      </x:c>
      <x:c r="D7" s="22" t="str">
        <x:v>What happens when a list element is accessed using an index?</x:v>
      </x:c>
      <x:c r="E7" s="22" t="str">
        <x:v>- Python can locate the address of the indexed list slot and follow the stored pointer to the object in memory.
- Because the address of the i-th slot is known, any list element can be accessed by index in constant time.</x:v>
      </x:c>
      <x:c r="F7" s="22" t="str">
        <x:v>[{"end_second":2641.72,"start_second":2610.61,"video_id":"o9nW0uBqvEo"},{"end_second":362.32,"start_second":323.26,"video_id":"-DP1i2ZU9gk"}]</x:v>
      </x:c>
      <x:c r="G7" s="22" t="str">
        <x:v>accept</x:v>
      </x:c>
      <x:c r="H7" s="22" t="str">
        <x:v>The candidate excerpt at rank 1 directly supports the answer that when a list element is accessed using an index, it returns the value at that specific index.</x:v>
      </x:c>
      <x:c r="I7" s="22" t="str">
        <x:v>-DP1i2ZU9gk:semantic_cosine_wp240_v1:8</x:v>
      </x:c>
      <x:c r="J7" s="22" t="str">
        <x:v>rank=1
chunk_id=-DP1i2ZU9gk:semantic_cosine_wp240_v1:8
citation=https://www.youtube.com/watch?v=-DP1i2ZU9gk&amp;t=329s
GT time overlap (audit signal only)=True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x:v>
      </x:c>
      <x:c r="K7" s="22" t="str">
        <x:v>rank=2
chunk_id=RvRKT-jXvko:semantic_cosine_wp240_v1:23
citation=https://www.youtube.com/watch?v=RvRKT-jXvko&amp;t=965s
GT time overlap (audit signal only)=False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c r="L7" s="22" t="str">
        <x:v>rank=3
chunk_id=7lQXYl_L28w:semantic_cosine_wp240_v1:16
citation=https://www.youtube.com/watch?v=7lQXYl_L28w&amp;t=571s
GT time overlap (audit signal only)=False
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x:v>
      </x:c>
      <x:c r="M7" s="97" t="str">
        <x:v>insufficient</x:v>
      </x:c>
      <x:c r="N7" s="97" t="str">
        <x:v>no</x:v>
      </x:c>
      <x:c r="O7" s="97" t="str">
        <x:v>no</x:v>
      </x:c>
      <x:c r="P7" s="97" t="str">
        <x:v>D_potential_false_accept</x:v>
      </x:c>
      <x:c r="Q7" s="97" t="str">
        <x:v>Candidate 1 discusses values and memory pointers for list elements, but it does not establish direct indexed-slot addressing or constant-time access; its chain wording is not enough to entail the expected answer. The remaining candidates do not supply the missing point.</x:v>
      </x:c>
      <x:c r="R7" s="97" t="str">
        <x:v>reviewed</x:v>
      </x:c>
    </x:row>
    <x:row r="8" ht="150" customHeight="1">
      <x:c r="A8" s="22" t="str">
        <x:v>mit60001-q-031</x:v>
      </x:c>
      <x:c r="B8" s="22" t="str"/>
      <x:c r="C8" s="22" t="str">
        <x:v>partial_coverage_in_top3</x:v>
      </x:c>
      <x:c r="D8" s="22" t="str">
        <x:v>What happens when a list is mutated through one of several aliases?</x:v>
      </x:c>
      <x:c r="E8" s="22" t="str">
        <x:v>- All aliases point to the same mutable list object in memory.
- Mutating the list through one alias changes that shared object, so the changed value is visible through every alias.</x:v>
      </x:c>
      <x:c r="F8" s="22" t="str">
        <x:v>[{"end_second":2112.92,"start_second":2071.15,"video_id":"RvRKT-jXvko"},{"end_second":1898.78,"start_second":1864.16,"video_id":"RvRKT-jXvko"}]</x:v>
      </x:c>
      <x:c r="G8" s="22" t="str">
        <x:v>accept</x:v>
      </x:c>
      <x:c r="H8" s="22" t="str">
        <x:v>The candidate excerpt directly supports the answer that when a list is mutated through one of several aliases, all the aliases will refer to the same person object with the changed attributes.</x:v>
      </x:c>
      <x:c r="I8" s="22" t="str">
        <x:v>RvRKT-jXvko:semantic_cosine_wp240_v1:47</x:v>
      </x:c>
      <x:c r="J8" s="22" t="str">
        <x:v>rank=1
chunk_id=RvRKT-jXvko:semantic_cosine_wp240_v1:47
citation=https://www.youtube.com/watch?v=RvRKT-jXvko&amp;t=1995s
GT time overlap (audit signal only)=False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c r="K8" s="22" t="str">
        <x:v>rank=2
chunk_id=RvRKT-jXvko:semantic_cosine_wp240_v1:37
citation=https://www.youtube.com/watch?v=RvRKT-jXvko&amp;t=1583s
GT time overlap (audit signal only)=False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c r="L8" s="22" t="str">
        <x:v>rank=3
chunk_id=RvRKT-jXvko:semantic_cosine_wp240_v1:49
citation=https://www.youtube.com/watch?v=RvRKT-jXvko&amp;t=2061s
GT time overlap (audit signal only)=True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c r="M8" s="97" t="str">
        <x:v>sufficient</x:v>
      </x:c>
      <x:c r="N8" s="97" t="str">
        <x:v>yes</x:v>
      </x:c>
      <x:c r="O8" s="97" t="str">
        <x:v>yes</x:v>
      </x:c>
      <x:c r="P8" s="97" t="str">
        <x:v>A_success</x:v>
      </x:c>
      <x:c r="Q8" s="97" t="str">
        <x:v>Candidates 1 and 3 explain that aliases refer to the same mutable list object and that a mutation through one alias is visible through the other aliases. The model-selected candidate 1 is valid support.</x:v>
      </x:c>
      <x:c r="R8" s="97" t="str">
        <x:v>reviewed</x:v>
      </x:c>
    </x:row>
    <x:row r="9" ht="150" customHeight="1">
      <x:c r="A9" s="22" t="str">
        <x:v>mit60001-q-032</x:v>
      </x:c>
      <x:c r="B9" s="22" t="str"/>
      <x:c r="C9" s="22" t="str">
        <x:v>partial_coverage_in_top3</x:v>
      </x:c>
      <x:c r="D9" s="22" t="str">
        <x:v>What happens when an exception is raised and no matching handler is used?</x:v>
      </x:c>
      <x:c r="E9" s="22" t="str">
        <x:v>- Without a matching try/except handler, the failing code raises the exception instead of producing a controlled response.
- The lecture describes this unhandled case as the program crashing; with a matching handler, the exception can be caught and replaced by a clearer message.</x:v>
      </x:c>
      <x:c r="F9" s="22" t="str">
        <x:v>[{"end_second":1510.09,"start_second":1436.86,"video_id":"9H6muyZjms0"},{"end_second":1831.63,"start_second":1799.8,"video_id":"9H6muyZjms0"}]</x:v>
      </x:c>
      <x:c r="G9" s="22" t="str">
        <x:v>reject</x:v>
      </x:c>
      <x:c r="H9" s="22" t="str">
        <x:v>The provided excerpt does not directly address what happens when an exception is raised and no matching handler is used.</x:v>
      </x:c>
      <x:c r="I9" s="22" t="str"/>
      <x:c r="J9" s="22" t="str">
        <x:v>rank=1
chunk_id=9H6muyZjms0:semantic_cosine_wp240_v1:31
citation=https://www.youtube.com/watch?v=9H6muyZjms0&amp;t=1286s
GT time overlap (audit signal only)=False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c r="K9" s="22" t="str">
        <x:v>rank=2
chunk_id=9H6muyZjms0:semantic_cosine_wp240_v1:37
citation=https://www.youtube.com/watch?v=9H6muyZjms0&amp;t=1605s
GT time overlap (audit signal only)=False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x:v>
      </x:c>
      <x:c r="L9" s="22" t="str">
        <x:v>rank=3
chunk_id=9H6muyZjms0:semantic_cosine_wp240_v1:41
citation=https://www.youtube.com/watch?v=9H6muyZjms0&amp;t=1799s
GT time overlap (audit signal only)=True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x:v>
      </x:c>
      <x:c r="M9" s="97" t="str">
        <x:v>sufficient</x:v>
      </x:c>
      <x:c r="N9" s="97" t="str">
        <x:v>no</x:v>
      </x:c>
      <x:c r="O9" s="97" t="str">
        <x:v>not_applicable</x:v>
      </x:c>
      <x:c r="P9" s="97" t="str">
        <x:v>B_reviewer_false_reject</x:v>
      </x:c>
      <x:c r="Q9" s="97" t="str">
        <x:v>Candidate 1 states that an unexpected condition can stop program execution and produce an exception; candidate 3 explicitly describes programs crashing when exceptions are raised. Together the Top 3 supports the unhandled-exception outcome, so reject is too strict.</x:v>
      </x:c>
      <x:c r="R9" s="97" t="str">
        <x:v>reviewed</x:v>
      </x:c>
    </x:row>
    <x:row r="10" ht="150" customHeight="1">
      <x:c r="A10" s="22" t="str">
        <x:v>mit60001-q-034</x:v>
      </x:c>
      <x:c r="B10" s="22" t="str"/>
      <x:c r="C10" s="22" t="str">
        <x:v>partial_coverage_in_top3</x:v>
      </x:c>
      <x:c r="D10" s="22" t="str">
        <x:v>How does the course connect testing and debugging when finding program errors?</x:v>
      </x:c>
      <x:c r="E10" s="22" t="str">
        <x:v>- Testing uses expected and actual results to identify what is wrong.
- Debugging then determines how or why the bad result occurred and pinpoints the responsible line, lines, or function.</x:v>
      </x:c>
      <x:c r="F10" s="22" t="str">
        <x:v>[{"end_second":1068.71,"start_second":1030.27,"video_id":"9H6muyZjms0"},{"end_second":342.2,"start_second":313.36,"video_id":"9H6muyZjms0"}]</x:v>
      </x:c>
      <x:c r="G10" s="22" t="str">
        <x:v>accept</x:v>
      </x:c>
      <x:c r="H10" s="22" t="str">
        <x:v>The candidate excerpt directly supports the answer by explaining how the course connects testing and debugging when finding program errors, stating that the debugging process is figuring out how the result took place and using the scientific method to study test cases and come up with hypotheses.</x:v>
      </x:c>
      <x:c r="I10" s="22" t="str">
        <x:v>9H6muyZjms0:semantic_cosine_wp240_v1:25</x:v>
      </x:c>
      <x:c r="J10" s="22" t="str">
        <x:v>rank=1
chunk_id=9H6muyZjms0:semantic_cosine_wp240_v1:31
citation=https://www.youtube.com/watch?v=9H6muyZjms0&amp;t=1286s
GT time overlap (audit signal only)=False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c r="K10" s="22" t="str">
        <x:v>rank=2
chunk_id=9H6muyZjms0:semantic_cosine_wp240_v1:25
citation=https://www.youtube.com/watch?v=9H6muyZjms0&amp;t=1035s
GT time overlap (audit signal only)=True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x:v>
      </x:c>
      <x:c r="L10" s="22" t="str">
        <x:v>rank=3
chunk_id=9H6muyZjms0:semantic_cosine_wp240_v1:20
citation=https://www.youtube.com/watch?v=9H6muyZjms0&amp;t=863s
GT time overlap (audit signal only)=False
And I don't know if you can read
this, but this part right here.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x:v>
      </x:c>
      <x:c r="M10" s="97" t="str">
        <x:v>sufficient</x:v>
      </x:c>
      <x:c r="N10" s="97" t="str">
        <x:v>yes</x:v>
      </x:c>
      <x:c r="O10" s="97" t="str">
        <x:v>yes</x:v>
      </x:c>
      <x:c r="P10" s="97" t="str">
        <x:v>A_success</x:v>
      </x:c>
      <x:c r="Q10" s="97" t="str">
        <x:v>Candidate 2 directly separates testing (figuring out what is wrong from test cases) from debugging (figuring out how the result occurred and testing hypotheses). It is valid evidence for the question.</x:v>
      </x:c>
      <x:c r="R10" s="97" t="str">
        <x:v>reviewed</x:v>
      </x:c>
    </x:row>
    <x:row r="11" ht="150" customHeight="1">
      <x:c r="A11" s="22" t="str">
        <x:v>mit60001-q-035</x:v>
      </x:c>
      <x:c r="B11" s="22" t="str"/>
      <x:c r="C11" s="22" t="str">
        <x:v>partial_coverage_in_top3</x:v>
      </x:c>
      <x:c r="D11" s="22" t="str">
        <x:v>How does the course connect list aliasing with mutation side effects?</x:v>
      </x:c>
      <x:c r="E11" s="22" t="str">
        <x:v>- Aliasing means two names can point to the same list object.
- Because the list is mutable, a change made through one alias changes the shared object and appears through the other alias.
- This shared visible change is a mutation side effect.</x:v>
      </x:c>
      <x:c r="F11" s="22" t="str">
        <x:v>[{"end_second":2112.92,"start_second":2071.15,"video_id":"RvRKT-jXvko"},{"end_second":105.507,"start_second":76.29,"video_id":"WPSeyjX1-4s"}]</x:v>
      </x:c>
      <x:c r="G11" s="22" t="str">
        <x:v>accept</x:v>
      </x:c>
      <x:c r="H11" s="22" t="str">
        <x:v>The candidate excerpt at rank 2 directly supports the answer by explaining how lists are mutable and can lead to aliasing, where two names point to the same list structure, and changing the contents of one list affects the appearance of the other.</x:v>
      </x:c>
      <x:c r="I11" s="22" t="str">
        <x:v>WPSeyjX1-4s:semantic_cosine_wp240_v1:1</x:v>
      </x:c>
      <x:c r="J11" s="22" t="str">
        <x:v>rank=1
chunk_id=RvRKT-jXvko:semantic_cosine_wp240_v1:47
citation=https://www.youtube.com/watch?v=RvRKT-jXvko&amp;t=1995s
GT time overlap (audit signal only)=False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c r="K11" s="22" t="str">
        <x:v>rank=2
chunk_id=WPSeyjX1-4s:semantic_cosine_wp240_v1:1
citation=https://www.youtube.com/watch?v=WPSeyjX1-4s&amp;t=53s
GT time overlap (audit signal only)=True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c r="L11" s="22" t="str">
        <x:v>rank=3
chunk_id=RvRKT-jXvko:semantic_cosine_wp240_v1:37
citation=https://www.youtube.com/watch?v=RvRKT-jXvko&amp;t=1583s
GT time overlap (audit signal only)=False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c r="M11" s="97" t="str">
        <x:v>sufficient</x:v>
      </x:c>
      <x:c r="N11" s="97" t="str">
        <x:v>yes</x:v>
      </x:c>
      <x:c r="O11" s="97" t="str">
        <x:v>yes</x:v>
      </x:c>
      <x:c r="P11" s="97" t="str">
        <x:v>A_success</x:v>
      </x:c>
      <x:c r="Q11" s="97" t="str">
        <x:v>Candidate 2 directly states that two names can alias the same list and that mutating the shared list through one name changes what is seen through the other, explicitly tying this to side effects of mutability.</x:v>
      </x:c>
      <x:c r="R11" s="97" t="str">
        <x:v>reviewed</x:v>
      </x:c>
    </x:row>
    <x:row r="12" ht="150" customHeight="1">
      <x:c r="A12" s="22" t="str">
        <x:v>mit60001-q-037</x:v>
      </x:c>
      <x:c r="B12" s="22" t="str"/>
      <x:c r="C12" s="22" t="str">
        <x:v>partial_coverage_in_top3</x:v>
      </x:c>
      <x:c r="D12" s="22" t="str">
        <x:v>How do linear search and binary search differ in the number of elements they need to examine?</x:v>
      </x:c>
      <x:c r="E12" s="22" t="str">
        <x:v>- Linear search may inspect every list element, so its worst-case complexity is linear.
- Bisection search requires a sorted list and uses the ordering to reduce the size of the remaining problem.
- That reduction makes bisection search more efficient than linear search on suitable sorted data.</x:v>
      </x:c>
      <x:c r="F12" s="22" t="str">
        <x:v>[{"end_second":222.87,"start_second":196.38,"video_id":"6LOwPhPDwVc"},{"end_second":518.325,"start_second":493.21,"video_id":"7lQXYl_L28w"}]</x:v>
      </x:c>
      <x:c r="G12" s="22" t="str">
        <x:v>reject</x:v>
      </x:c>
      <x:c r="H12" s="22" t="str">
        <x:v>The provided excerpts do not directly address the difference in the number of elements needed to be examined between linear search and binary search.</x:v>
      </x:c>
      <x:c r="I12" s="22" t="str"/>
      <x:c r="J12" s="22" t="str">
        <x:v>rank=1
chunk_id=7lQXYl_L28w:semantic_cosine_wp240_v1:13
citation=https://www.youtube.com/watch?v=7lQXYl_L28w&amp;t=478s
GT time overlap (audit signal only)=True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c r="K12" s="22" t="str">
        <x:v>rank=2
chunk_id=6LOwPhPDwVc:semantic_cosine_wp240_v1:2
citation=https://www.youtube.com/watch?v=6LOwPhPDwVc&amp;t=95s
GT time overlap (audit signal only)=False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x:v>
      </x:c>
      <x:c r="L12" s="22" t="str">
        <x:v>rank=3
chunk_id=6LOwPhPDwVc:semantic_cosine_wp240_v1:3
citation=https://www.youtube.com/watch?v=6LOwPhPDwVc&amp;t=144s
GT time overlap (audit signal only)=False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x:v>
      </x:c>
      <x:c r="M12" s="97" t="str">
        <x:v>insufficient</x:v>
      </x:c>
      <x:c r="N12" s="97" t="str">
        <x:v>yes</x:v>
      </x:c>
      <x:c r="O12" s="97" t="str">
        <x:v>not_applicable</x:v>
      </x:c>
      <x:c r="P12" s="97" t="str">
        <x:v>C_correct_abstention</x:v>
      </x:c>
      <x:c r="Q12" s="97" t="str">
        <x:v>The Top 3 explains linear search as walking through the list, but it does not provide the binary-search halving/reduction needed to compare how many elements the two methods examine. Reject is appropriate for the expected answer.</x:v>
      </x:c>
      <x:c r="R12" s="97" t="str">
        <x:v>reviewed</x:v>
      </x:c>
    </x:row>
    <x:row r="13" ht="150" customHeight="1">
      <x:c r="A13" s="23" t="str">
        <x:v>mit60001-q-041</x:v>
      </x:c>
      <x:c r="B13" s="23" t="str">
        <x:v>possible_ground_truth_under_credit</x:v>
      </x:c>
      <x:c r="C13" s="23" t="str">
        <x:v>no_credited_evidence_in_top3</x:v>
      </x:c>
      <x:c r="D13" s="23" t="str">
        <x:v>How does the course distinguish a class from an instance of that class?</x:v>
      </x:c>
      <x:c r="E13" s="23" t="str">
        <x:v>- A class definition describes an object type, including its data representation and available interactions or methods.
- An instance is a particular object created from that class and has the class name as its type.
- Methods defined for the class are used to operate on its instances.</x:v>
      </x:c>
      <x:c r="F13" s="23" t="str">
        <x:v>[{"end_second":609.43,"start_second":565.6,"video_id":"-DP1i2ZU9gk"},{"end_second":225.61,"start_second":187.98,"video_id":"FlGjISF3l78"}]</x:v>
      </x:c>
      <x:c r="G13" s="23" t="str">
        <x:v>reject</x:v>
      </x:c>
      <x:c r="H13" s="23" t="str">
        <x:v>None of the candidate excerpts directly support the answer to the question 'How does the course distinguish a class from an instance of that class?'</x:v>
      </x:c>
      <x:c r="I13" s="23" t="str"/>
      <x:c r="J13" s="23" t="str">
        <x:v>rank=1
chunk_id=vqn_yk5aFcI:semantic_cosine_wp240_v1:0
citation=https://www.youtube.com/watch?v=vqn_yk5aFcI&amp;t=0s
GT time overlap (audit signal only)=False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x:v>
      </x:c>
      <x:c r="K13" s="23" t="str">
        <x:v>rank=2
chunk_id=-DP1i2ZU9gk:semantic_cosine_wp240_v1:42
citation=https://www.youtube.com/watch?v=-DP1i2ZU9gk&amp;t=1921s
GT time overlap (audit signal only)=False
an instance of a
particular class,
you use this special
function called is instance.
So if you print is instance
C comma coordinate,
this is going to print true
because C is an object that
is of type coordinate.
Couple more words on
these special operators.
So these special
operators allow you
to customize your classes which
can add some cool functionality
to them.
So these special
operators are going
to be things like
addition, subtraction,
using the equal equal sign,
greater than, less than,
length and so on and so on.</x:v>
      </x:c>
      <x:c r="L13" s="23" t="str">
        <x:v>rank=3
chunk_id=2__KumJsGXc:semantic_cosine_wp240_v1:0
citation=https://www.youtube.com/watch?v=2__KumJsGXc&amp;t=0s
GT time overlap (audit signal only)=False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x:v>
      </x:c>
      <x:c r="M13" s="98" t="str">
        <x:v>possible_gt_under_credit</x:v>
      </x:c>
      <x:c r="N13" s="98" t="str">
        <x:v>needs_discussion</x:v>
      </x:c>
      <x:c r="O13" s="98" t="str">
        <x:v>not_applicable</x:v>
      </x:c>
      <x:c r="P13" s="98" t="str">
        <x:v>benchmark_gt_issue</x:v>
      </x:c>
      <x:c r="Q13" s="98" t="str">
        <x:v>Keep the existing possible Ground Truth under-credit flag. Candidate 1 is a class definition example and candidate 2 explicitly says an instance is an object of type Coordinate, so there is real class-vs-instance evidence not credited by GT. The richer expected details are only partially present, so reviewer correctness should not be forced.</x:v>
      </x:c>
      <x:c r="R13" s="98" t="str">
        <x:v>reviewed</x:v>
      </x:c>
    </x:row>
  </x:sheetData>
  <x:conditionalFormatting sqref="R2:R13">
    <x:cfRule type="containsText" dxfId="1" priority="1" operator="containsText" text="reviewed"/>
  </x:conditionalFormatting>
  <x:conditionalFormatting sqref="B2:B13">
    <x:cfRule type="containsText" dxfId="2" priority="2" operator="containsText" text="possible_ground_truth_under_credit"/>
  </x:conditionalFormatting>
  <x:dataValidations count="5">
    <x:dataValidation type="list" sqref="M2:M13">
      <x:formula1>"sufficient,insufficient,possible_gt_under_credit,needs_discussion"</x:formula1>
    </x:dataValidation>
    <x:dataValidation type="list" sqref="N2:N13">
      <x:formula1>"yes,no,needs_discussion"</x:formula1>
    </x:dataValidation>
    <x:dataValidation type="list" sqref="O2:O13">
      <x:formula1>"yes,no,not_applicable,needs_discussion"</x:formula1>
    </x:dataValidation>
    <x:dataValidation type="list" sqref="P2:P13">
      <x:formula1>"A_success,B_reviewer_false_reject,C_correct_abstention,D_potential_false_accept,benchmark_gt_issue,needs_discussion"</x:formula1>
    </x:dataValidation>
    <x:dataValidation type="list" sqref="R2:R13">
      <x:formula1>"pending,reviewed"</x:formula1>
    </x:dataValidation>
  </x:dataValidations>
  <x:pageMargins left="0.7" right="0.7" top="0.75" bottom="0.75" header="0.3" footer="0.3"/>
  <x:tableParts count="1">
    <x:tablePart xmlns:r="http://schemas.openxmlformats.org/officeDocument/2006/relationships" r:id="R30ed6e28291f41a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3" hidden="0" customWidth="1"/>
    <x:col min="3" max="3" width="44" hidden="0" customWidth="1"/>
    <x:col min="4" max="4" width="52" hidden="0" customWidth="1"/>
    <x:col min="5" max="5" width="52" hidden="0" customWidth="1"/>
    <x:col min="6" max="6" width="48" hidden="0" customWidth="1"/>
    <x:col min="7" max="7" width="12" hidden="0" customWidth="1"/>
    <x:col min="8" max="8" width="72" hidden="0" customWidth="1"/>
    <x:col min="9" max="9" width="42" hidden="0" customWidth="1"/>
    <x:col min="10" max="10" width="18" hidden="0" customWidth="1"/>
    <x:col min="11" max="11" width="25" hidden="0" customWidth="1"/>
    <x:col min="12" max="12" width="25" hidden="0" customWidth="1"/>
    <x:col min="13" max="13" width="25" hidden="0" customWidth="1"/>
  </x:cols>
  <x:sheetData>
    <x:row r="1" ht="34" customHeight="1">
      <x:c r="A1" s="13" t="str">
        <x:v>question_id</x:v>
      </x:c>
      <x:c r="B1" s="61" t="str">
        <x:v>calibration_class</x:v>
      </x:c>
      <x:c r="C1" s="61" t="str">
        <x:v>question</x:v>
      </x:c>
      <x:c r="D1" s="61" t="str">
        <x:v>expected_answer_points</x:v>
      </x:c>
      <x:c r="E1" s="61" t="str">
        <x:v>model_reason</x:v>
      </x:c>
      <x:c r="F1" s="61" t="str">
        <x:v>supporting_chunk_id</x:v>
      </x:c>
      <x:c r="G1" s="61" t="str">
        <x:v>supporting_rank</x:v>
      </x:c>
      <x:c r="H1" s="61" t="str">
        <x:v>supporting_chunk_text</x:v>
      </x:c>
      <x:c r="I1" s="61" t="str">
        <x:v>citation_url</x:v>
      </x:c>
      <x:c r="J1" s="61" t="str">
        <x:v>auto_gt_time_overlap</x:v>
      </x:c>
      <x:c r="K1" s="61" t="str">
        <x:v>human_entailment_verdict</x:v>
      </x:c>
      <x:c r="L1" s="61" t="str">
        <x:v>human_notes</x:v>
      </x:c>
      <x:c r="M1" s="14" t="str">
        <x:v>human_review_status</x:v>
      </x:c>
    </x:row>
    <x:row r="2" ht="112" customHeight="1">
      <x:c r="A2" s="21" t="str">
        <x:v>mit60001-q-002</x:v>
      </x:c>
      <x:c r="B2" s="21" t="str">
        <x:v>strong_reject</x:v>
      </x:c>
      <x:c r="C2" s="21" t="str">
        <x:v>What does the course say students should do to practice programming effectively?</x:v>
      </x:c>
      <x:c r="D2" s="21" t="str">
        <x:v>- Read problem sets early to become familiar with terminology.
- Practice programming directly rather than only watching someone else code.
- Download the code before lecture.</x:v>
      </x:c>
      <x:c r="E2" s="21" t="str">
        <x:v>The candidate excerpt directly supports the answer 'To practice programming effectively, you need to write code that's well organized, modular, easy to understand, and readable by others.' with chunk_id 'nykOeWgQcHM:semantic_cosine_wp240_v1:7'.</x:v>
      </x:c>
      <x:c r="F2" s="21" t="str">
        <x:v>nykOeWgQcHM:semantic_cosine_wp240_v1:7</x:v>
      </x:c>
      <x:c r="G2" s="21" t="str">
        <x:v>1</x:v>
      </x:c>
      <x:c r="H2" s="21" t="str">
        <x:v>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c r="I2" s="21" t="str">
        <x:v>https://www.youtube.com/watch?v=nykOeWgQcHM&amp;t=306s</x:v>
      </x:c>
      <x:c r="J2" s="21" t="str">
        <x:v>False</x:v>
      </x:c>
      <x:c r="K2" s="96" t="str">
        <x:v>does_not_support</x:v>
      </x:c>
      <x:c r="L2" s="96" t="str">
        <x:v>Discusses readable/modular code and program control flow, not the expected practice advice (read problem sets early, program directly, download code).</x:v>
      </x:c>
      <x:c r="M2" s="96" t="str">
        <x:v>reviewed</x:v>
      </x:c>
    </x:row>
    <x:row r="3" ht="112" customHeight="1">
      <x:c r="A3" s="22" t="str">
        <x:v>mit60001-q-003</x:v>
      </x:c>
      <x:c r="B3" s="22" t="str">
        <x:v>strong_accept</x:v>
      </x:c>
      <x:c r="C3" s="22" t="str">
        <x:v>How does Python use variable names in different scopes?</x:v>
      </x:c>
      <x:c r="D3" s="22" t="str">
        <x:v>- The same variable name can exist in the global scope and in a different scope.
- Python uses the variable names of the current scope, so same-named variables in different scopes do not interfere with one another.</x:v>
      </x:c>
      <x:c r="E3" s="22" t="str">
        <x:v>The candidate excerpt directly supports the answer that Python uses variable names in different scopes, and the scope of a function is a completely separate environment than the environment of the main program.</x:v>
      </x:c>
      <x:c r="F3" s="22" t="str">
        <x:v>MjbuarJ7SE0:semantic_cosine_wp240_v1:21</x:v>
      </x:c>
      <x:c r="G3" s="22" t="str">
        <x:v>2</x:v>
      </x:c>
      <x:c r="H3" s="22"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c r="I3" s="22" t="str">
        <x:v>https://www.youtube.com/watch?v=MjbuarJ7SE0&amp;t=913s</x:v>
      </x:c>
      <x:c r="J3" s="22" t="str">
        <x:v>False</x:v>
      </x:c>
      <x:c r="K3" s="97" t="str">
        <x:v>supports</x:v>
      </x:c>
      <x:c r="L3" s="97" t="str">
        <x:v>Explains that a function scope is a separate environment from the main program, supporting separation of same-named variables across scopes.</x:v>
      </x:c>
      <x:c r="M3" s="97" t="str">
        <x:v>reviewed</x:v>
      </x:c>
    </x:row>
    <x:row r="4" ht="112" customHeight="1">
      <x:c r="A4" s="22" t="str">
        <x:v>mit60001-q-003</x:v>
      </x:c>
      <x:c r="B4" s="22" t="str">
        <x:v>strong_accept</x:v>
      </x:c>
      <x:c r="C4" s="22" t="str">
        <x:v>How does Python use variable names in different scopes?</x:v>
      </x:c>
      <x:c r="D4" s="22" t="str">
        <x:v>- The same variable name can exist in the global scope and in a different scope.
- Python uses the variable names of the current scope, so same-named variables in different scopes do not interfere with one another.</x:v>
      </x:c>
      <x:c r="E4" s="22" t="str">
        <x:v>The candidate excerpt directly supports the answer that Python uses variable names in different scopes, and the scope of a function is a completely separate environment than the environment of the main program.</x:v>
      </x:c>
      <x:c r="F4" s="22" t="str">
        <x:v>MjbuarJ7SE0:semantic_cosine_wp240_v1:42</x:v>
      </x:c>
      <x:c r="G4" s="22" t="str">
        <x:v>3</x:v>
      </x:c>
      <x:c r="H4" s="22" t="str">
        <x:v>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c r="I4" s="22" t="str">
        <x:v>https://www.youtube.com/watch?v=MjbuarJ7SE0&amp;t=1885s</x:v>
      </x:c>
      <x:c r="J4" s="22" t="str">
        <x:v>True</x:v>
      </x:c>
      <x:c r="K4" s="97" t="str">
        <x:v>supports</x:v>
      </x:c>
      <x:c r="L4" s="97" t="str">
        <x:v>Directly states that same-named variables in different scopes do not interfere with each other.</x:v>
      </x:c>
      <x:c r="M4" s="97" t="str">
        <x:v>reviewed</x:v>
      </x:c>
    </x:row>
    <x:row r="5" ht="112" customHeight="1">
      <x:c r="A5" s="22" t="str">
        <x:v>mit60001-q-004</x:v>
      </x:c>
      <x:c r="B5" s="22" t="str">
        <x:v>strong_reject</x:v>
      </x:c>
      <x:c r="C5" s="22" t="str">
        <x:v>What is the difference between assignment (=) and equality (==) in Python?</x:v>
      </x:c>
      <x:c r="D5" s="22" t="str">
        <x:v>- The single equals sign assigns a value to a variable.
- The double equals sign tests whether two values are equal and produces a Boolean result.</x:v>
      </x:c>
      <x:c r="E5" s="22" t="str">
        <x:v>The candidate excerpt directly supports the answer that assignment (=) and equality (==) are used differently in Python, with assignment being on the left-hand side and equality on the right-hand side.</x:v>
      </x:c>
      <x:c r="F5" s="22" t="str">
        <x:v>nykOeWgQcHM:semantic_cosine_wp240_v1:53</x:v>
      </x:c>
      <x:c r="G5" s="22" t="str">
        <x:v>1</x:v>
      </x:c>
      <x:c r="H5" s="22"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c r="I5" s="22" t="str">
        <x:v>https://www.youtube.com/watch?v=nykOeWgQcHM&amp;t=2365s</x:v>
      </x:c>
      <x:c r="J5" s="22" t="str">
        <x:v>False</x:v>
      </x:c>
      <x:c r="K5" s="97" t="str">
        <x:v>does_not_support</x:v>
      </x:c>
      <x:c r="L5" s="97" t="str">
        <x:v>Explains single-equals assignment only; it does not provide the == equality/Boolean half required for the requested contrast.</x:v>
      </x:c>
      <x:c r="M5" s="97" t="str">
        <x:v>reviewed</x:v>
      </x:c>
    </x:row>
    <x:row r="6" ht="112" customHeight="1">
      <x:c r="A6" s="22" t="str">
        <x:v>mit60001-q-005</x:v>
      </x:c>
      <x:c r="B6" s="22" t="str">
        <x:v>strong_accept</x:v>
      </x:c>
      <x:c r="C6" s="22" t="str">
        <x:v>According to the course, why does a recursive function require a base case?</x:v>
      </x:c>
      <x:c r="D6" s="22" t="str">
        <x:v>- A base case gives recursion a directly solvable case and stops the unwinding of recursive calls.
- Having one or more easy base cases prevents infinite recursion.</x:v>
      </x:c>
      <x:c r="E6" s="22" t="str">
        <x:v>The candidate excerpt directly supports the answer that a recursive function requires a base case to avoid infinite recursion.</x:v>
      </x:c>
      <x:c r="F6" s="22" t="str">
        <x:v>WPSeyjX1-4s:semantic_cosine_wp240_v1:8</x:v>
      </x:c>
      <x:c r="G6" s="22" t="str">
        <x:v>2</x:v>
      </x:c>
      <x:c r="H6" s="22" t="str">
        <x:v>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x:v>
      </x:c>
      <x:c r="I6" s="22" t="str">
        <x:v>https://www.youtube.com/watch?v=WPSeyjX1-4s&amp;t=308s</x:v>
      </x:c>
      <x:c r="J6" s="22" t="str">
        <x:v>True</x:v>
      </x:c>
      <x:c r="K6" s="97" t="str">
        <x:v>supports</x:v>
      </x:c>
      <x:c r="L6" s="97" t="str">
        <x:v>Directly states that easy base cases avoid infinite recursion and are directly solvable.</x:v>
      </x:c>
      <x:c r="M6" s="97" t="str">
        <x:v>reviewed</x:v>
      </x:c>
    </x:row>
    <x:row r="7" ht="112" customHeight="1">
      <x:c r="A7" s="22" t="str">
        <x:v>mit60001-q-005</x:v>
      </x:c>
      <x:c r="B7" s="22" t="str">
        <x:v>strong_accept</x:v>
      </x:c>
      <x:c r="C7" s="22" t="str">
        <x:v>According to the course, why does a recursive function require a base case?</x:v>
      </x:c>
      <x:c r="D7" s="22" t="str">
        <x:v>- A base case gives recursion a directly solvable case and stops the unwinding of recursive calls.
- Having one or more easy base cases prevents infinite recursion.</x:v>
      </x:c>
      <x:c r="E7" s="22" t="str">
        <x:v>The candidate excerpt directly supports the answer that a recursive function requires a base case to avoid infinite recursion.</x:v>
      </x:c>
      <x:c r="F7" s="22" t="str">
        <x:v>WPSeyjX1-4s:semantic_cosine_wp240_v1:15</x:v>
      </x:c>
      <x:c r="G7" s="22" t="str">
        <x:v>3</x:v>
      </x:c>
      <x:c r="H7" s="22" t="str">
        <x:v>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x:v>
      </x:c>
      <x:c r="I7" s="22" t="str">
        <x:v>https://www.youtube.com/watch?v=WPSeyjX1-4s&amp;t=558s</x:v>
      </x:c>
      <x:c r="J7" s="22" t="str">
        <x:v>False</x:v>
      </x:c>
      <x:c r="K7" s="97" t="str">
        <x:v>supports</x:v>
      </x:c>
      <x:c r="L7" s="97" t="str">
        <x:v>Provides a concrete directly solvable factorial base case (n=1), supporting the base-case concept.</x:v>
      </x:c>
      <x:c r="M7" s="97" t="str">
        <x:v>reviewed</x:v>
      </x:c>
    </x:row>
    <x:row r="8" ht="112" customHeight="1">
      <x:c r="A8" s="22" t="str">
        <x:v>mit60001-q-006</x:v>
      </x:c>
      <x:c r="B8" s="22" t="str">
        <x:v>strong_accept</x:v>
      </x:c>
      <x:c r="C8" s="22" t="str">
        <x:v>According to the lecture, how is the efficiency of an algorithm explained?</x:v>
      </x:c>
      <x:c r="D8" s="22" t="str">
        <x:v>- Estimate efficiency by running test cases, timing execution, and observing the result.
- Alternatively count fundamental operations as a function of input size.</x:v>
      </x:c>
      <x:c r="E8" s="22" t="str">
        <x:v>The candidate excerpt directly supports the answer that the efficiency of an algorithm is explained by counting operations and saying how many of those operations do I use in my algorithm as a function of the size of the input.</x:v>
      </x:c>
      <x:c r="F8" s="22" t="str">
        <x:v>o9nW0uBqvEo:semantic_cosine_wp240_v1:14</x:v>
      </x:c>
      <x:c r="G8" s="22" t="str">
        <x:v>1</x:v>
      </x:c>
      <x:c r="H8" s="22" t="str">
        <x:v>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in the first case
than the second one.
And so we're going to
abstract that second one
to a more abstract
notion of something
we call an order of growth.
And I'll come back to that
in a couple of minutes.
This is the one we're
going to focus on.
It's one that computer
scientists use.</x:v>
      </x:c>
      <x:c r="I8" s="22" t="str">
        <x:v>https://www.youtube.com/watch?v=o9nW0uBqvEo&amp;t=560s</x:v>
      </x:c>
      <x:c r="J8" s="22" t="str">
        <x:v>True</x:v>
      </x:c>
      <x:c r="K8" s="97" t="str">
        <x:v>supports</x:v>
      </x:c>
      <x:c r="L8" s="97" t="str">
        <x:v>Directly describes counting fundamental operations as a function of input size to estimate efficiency.</x:v>
      </x:c>
      <x:c r="M8" s="97" t="str">
        <x:v>reviewed</x:v>
      </x:c>
    </x:row>
    <x:row r="9" ht="112" customHeight="1">
      <x:c r="A9" s="22" t="str">
        <x:v>mit60001-q-007</x:v>
      </x:c>
      <x:c r="B9" s="22" t="str">
        <x:v>strong_reject</x:v>
      </x:c>
      <x:c r="C9" s="22" t="str">
        <x:v>What value is bound to a name after an assignment statement is evaluated?</x:v>
      </x:c>
      <x:c r="D9" s="22" t="str">
        <x:v>- Assignment binds the value on the right-hand side to the variable name on the left-hand side.
- The binding allows the program to access that value later.</x:v>
      </x:c>
      <x:c r="E9" s="22" t="str">
        <x:v>The candidate excerpt directly supports the answer that the value bound to a name after an assignment statement is evaluated.</x:v>
      </x:c>
      <x:c r="F9" s="22" t="str">
        <x:v>nykOeWgQcHM:semantic_cosine_wp240_v1:53</x:v>
      </x:c>
      <x:c r="G9" s="22" t="str">
        <x:v>1</x:v>
      </x:c>
      <x:c r="H9" s="22"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c r="I9" s="22" t="str">
        <x:v>https://www.youtube.com/watch?v=nykOeWgQcHM&amp;t=2365s</x:v>
      </x:c>
      <x:c r="J9" s="22" t="str">
        <x:v>False</x:v>
      </x:c>
      <x:c r="K9" s="97" t="str">
        <x:v>supports</x:v>
      </x:c>
      <x:c r="L9" s="97" t="str">
        <x:v>States that the right-hand expression is evaluated to a value and the left-hand variable is assigned, which supports the assignment-binding semantics despite no GT time overlap.</x:v>
      </x:c>
      <x:c r="M9" s="97" t="str">
        <x:v>reviewed</x:v>
      </x:c>
    </x:row>
    <x:row r="10" ht="112" customHeight="1">
      <x:c r="A10" s="22" t="str">
        <x:v>mit60001-q-008</x:v>
      </x:c>
      <x:c r="B10" s="22" t="str">
        <x:v>needs_human_review</x:v>
      </x:c>
      <x:c r="C10" s="22" t="str">
        <x:v>Why can rebinding a variable name leave the previous object unchanged?</x:v>
      </x:c>
      <x:c r="D10" s="22" t="str">
        <x:v>- A variable name is a handle or binding used to access an object.
- Rebinding the name to a new value removes the old binding but does not change the previous object; the old object can remain in memory without that handle.</x:v>
      </x:c>
      <x:c r="E10" s="22" t="str">
        <x:v>The candidate excerpt directly supports the answer that rebinding a variable name leaves the previous object unchanged. The excerpt states,</x:v>
      </x:c>
      <x:c r="F10" s="22" t="str">
        <x:v>nykOeWgQcHM:semantic_cosine_wp240_v1:55</x:v>
      </x:c>
      <x:c r="G10" s="22" t="str">
        <x:v>2</x:v>
      </x:c>
      <x:c r="H10" s="22" t="str">
        <x:v>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x:v>
      </x:c>
      <x:c r="I10" s="22" t="str">
        <x:v>https://www.youtube.com/watch?v=nykOeWgQcHM&amp;t=2461s</x:v>
      </x:c>
      <x:c r="J10" s="22" t="str">
        <x:v>True</x:v>
      </x:c>
      <x:c r="K10" s="97" t="str">
        <x:v>supports</x:v>
      </x:c>
      <x:c r="L10" s="97" t="str">
        <x:v>Directly explains rebinding, loss of the old handle, and persistence of the previous value in memory.</x:v>
      </x:c>
      <x:c r="M10" s="97" t="str">
        <x:v>reviewed</x:v>
      </x:c>
    </x:row>
    <x:row r="11" ht="112" customHeight="1">
      <x:c r="A11" s="22" t="str">
        <x:v>mit60001-q-010</x:v>
      </x:c>
      <x:c r="B11" s="22" t="str">
        <x:v>strong_reject</x:v>
      </x:c>
      <x:c r="C11" s="22" t="str">
        <x:v>What is the difference between mutable and immutable objects?</x:v>
      </x:c>
      <x:c r="D11" s="22" t="str">
        <x:v>- Tuples are immutable, whereas lists are mutable.
- Lists and tuples can contain elements of any type, but lists use square brackets and tuples use parentheses.</x:v>
      </x:c>
      <x:c r="E11" s="22" t="str">
        <x:v>The candidate excerpt directly supports the answer that lists are mutable, as stated in the chunk_id 'RvRKT-jXvko:semantic_cosine_wp240_v1:43' and 'RvRKT-jXvko:semantic_cosine_wp240_v1:43'.</x:v>
      </x:c>
      <x:c r="F11" s="22" t="str">
        <x:v>RvRKT-jXvko:semantic_cosine_wp240_v1:43</x:v>
      </x:c>
      <x:c r="G11" s="22" t="str">
        <x:v>3</x:v>
      </x:c>
      <x:c r="H11" s="22" t="str">
        <x:v>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x:v>
      </x:c>
      <x:c r="I11" s="22" t="str">
        <x:v>https://www.youtube.com/watch?v=RvRKT-jXvko&amp;t=1818s</x:v>
      </x:c>
      <x:c r="J11" s="22" t="str">
        <x:v>False</x:v>
      </x:c>
      <x:c r="K11" s="97" t="str">
        <x:v>does_not_support</x:v>
      </x:c>
      <x:c r="L11" s="97" t="str">
        <x:v>Establishes that lists are mutable but does not contrast tuples as immutable or give the tuple/list syntax differences required by the expected answer.</x:v>
      </x:c>
      <x:c r="M11" s="97" t="str">
        <x:v>reviewed</x:v>
      </x:c>
    </x:row>
    <x:row r="12" ht="112" customHeight="1">
      <x:c r="A12" s="22" t="str">
        <x:v>mit60001-q-014</x:v>
      </x:c>
      <x:c r="B12" s="22" t="str">
        <x:v>strong_reject</x:v>
      </x:c>
      <x:c r="C12" s="22" t="str">
        <x:v>What is the difference between a Python list and a dictionary?</x:v>
      </x:c>
      <x:c r="D12" s="22" t="str">
        <x:v>- A list is an ordered sequence accessed by integer index.
- A dictionary maps keys to values and is accessed by the appropriate key.
- Dictionary keys must be immutable.</x:v>
      </x:c>
      <x:c r="E12" s="22" t="str">
        <x:v>The candidate excerpt directly supports the answer that lists are mutable objects.</x:v>
      </x:c>
      <x:c r="F12" s="22" t="str">
        <x:v>RvRKT-jXvko:semantic_cosine_wp240_v1:24</x:v>
      </x:c>
      <x:c r="G12" s="22" t="str">
        <x:v>3</x:v>
      </x:c>
      <x:c r="H12" s="22" t="str">
        <x:v>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x:v>
      </x:c>
      <x:c r="I12" s="22" t="str">
        <x:v>https://www.youtube.com/watch?v=RvRKT-jXvko&amp;t=1009s</x:v>
      </x:c>
      <x:c r="J12" s="22" t="str">
        <x:v>False</x:v>
      </x:c>
      <x:c r="K12" s="97" t="str">
        <x:v>does_not_support</x:v>
      </x:c>
      <x:c r="L12" s="97" t="str">
        <x:v>Shows list indexing and list mutability only; it does not provide the dictionary key-value side of the requested distinction.</x:v>
      </x:c>
      <x:c r="M12" s="97" t="str">
        <x:v>reviewed</x:v>
      </x:c>
    </x:row>
    <x:row r="13" ht="112" customHeight="1">
      <x:c r="A13" s="22" t="str">
        <x:v>mit60001-q-015</x:v>
      </x:c>
      <x:c r="B13" s="22" t="str">
        <x:v>strong_accept</x:v>
      </x:c>
      <x:c r="C13" s="22" t="str">
        <x:v>According to the course, how is using the shell different from using the editor?</x:v>
      </x:c>
      <x:c r="D13" s="22" t="str">
        <x:v>- The shell lets a user type and execute simple commands directly, typically to test something quickly.
- The editor is used to write multiple lines and more complicated programs, which can then be run.</x:v>
      </x:c>
      <x:c r="E13" s="22" t="str">
        <x:v>The candidate excerpt directly supports the answer that using the shell is different from using the editor in that shell commands are simple and used for testing, while editor commands are more lines and complicated programs.</x:v>
      </x:c>
      <x:c r="F13" s="22" t="str">
        <x:v>nykOeWgQcHM:semantic_cosine_wp240_v1:39</x:v>
      </x:c>
      <x:c r="G13" s="22" t="str">
        <x:v>1</x:v>
      </x:c>
      <x:c r="H13" s="22" t="str">
        <x:v>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x:v>
      </x:c>
      <x:c r="I13" s="22" t="str">
        <x:v>https://www.youtube.com/watch?v=nykOeWgQcHM&amp;t=1739s</x:v>
      </x:c>
      <x:c r="J13" s="22" t="str">
        <x:v>True</x:v>
      </x:c>
      <x:c r="K13" s="97" t="str">
        <x:v>supports</x:v>
      </x:c>
      <x:c r="L13" s="97" t="str">
        <x:v>Directly contrasts simple commands in the shell with longer, more complicated programs in the editor.</x:v>
      </x:c>
      <x:c r="M13" s="97" t="str">
        <x:v>reviewed</x:v>
      </x:c>
    </x:row>
    <x:row r="14" ht="112" customHeight="1">
      <x:c r="A14" s="22" t="str">
        <x:v>mit60001-q-016</x:v>
      </x:c>
      <x:c r="B14" s="22" t="str">
        <x:v>strong_accept</x:v>
      </x:c>
      <x:c r="C14" s="22" t="str">
        <x:v>According to the course, what does an assertion check in a program?</x:v>
      </x:c>
      <x:c r="D14" s="22" t="str">
        <x:v>- Assertions check that assumptions about a computation match what a function expects.
- They can enforce function preconditions or postconditions, including input type and value conditions.
- When an assertion is false, Python raises an assertion error and the function stops immediately.</x:v>
      </x:c>
      <x:c r="E14" s="22" t="str">
        <x:v>The candidate excerpt directly supports the answer that an assertion check in a program prevents the program from propagating bad values.</x:v>
      </x:c>
      <x:c r="F14" s="22" t="str">
        <x:v>9H6muyZjms0:semantic_cosine_wp240_v1:51</x:v>
      </x:c>
      <x:c r="G14" s="22" t="str">
        <x:v>1</x:v>
      </x:c>
      <x:c r="H14" s="22"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c r="I14" s="22" t="str">
        <x:v>https://www.youtube.com/watch?v=9H6muyZjms0&amp;t=2375s</x:v>
      </x:c>
      <x:c r="J14" s="22" t="str">
        <x:v>True</x:v>
      </x:c>
      <x:c r="K14" s="97" t="str">
        <x:v>supports</x:v>
      </x:c>
      <x:c r="L14" s="97" t="str">
        <x:v>Directly explains assertion pre/postconditions and immediate termination when an assertion is false.</x:v>
      </x:c>
      <x:c r="M14" s="97" t="str">
        <x:v>reviewed</x:v>
      </x:c>
    </x:row>
    <x:row r="15" ht="112" customHeight="1">
      <x:c r="A15" s="22" t="str">
        <x:v>mit60001-q-017</x:v>
      </x:c>
      <x:c r="B15" s="22" t="str">
        <x:v>needs_human_review</x:v>
      </x:c>
      <x:c r="C15" s="22" t="str">
        <x:v>What does the course say is the purpose of exception handling?</x:v>
      </x:c>
      <x:c r="D15" s="22" t="str">
        <x:v>- Exception handling catches an error that would otherwise raise an exception and interrupt normal execution.
- It lets the programmer respond in a controlled way, such as printing a clearer message for bad user input.
- A programmer can also raise an exception deliberately to signal an error condition and direct later control flow.</x:v>
      </x:c>
      <x:c r="E15" s="22" t="str">
        <x:v>The candidate excerpt directly supports the answer that exception handling is used for testing and debugging.</x:v>
      </x:c>
      <x:c r="F15" s="22" t="str">
        <x:v>9H6muyZjms0:semantic_cosine_wp240_v1:31</x:v>
      </x:c>
      <x:c r="G15" s="22" t="str">
        <x:v>1</x:v>
      </x:c>
      <x:c r="H15" s="22"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c r="I15" s="22" t="str">
        <x:v>https://www.youtube.com/watch?v=9H6muyZjms0&amp;t=1286s</x:v>
      </x:c>
      <x:c r="J15" s="22" t="str">
        <x:v>False</x:v>
      </x:c>
      <x:c r="K15" s="97" t="str">
        <x:v>does_not_support</x:v>
      </x:c>
      <x:c r="L15" s="97" t="str">
        <x:v>Defines exceptions and program stopping, but does not explain the purpose of exception handling or a controlled handler response.</x:v>
      </x:c>
      <x:c r="M15" s="97" t="str">
        <x:v>reviewed</x:v>
      </x:c>
    </x:row>
    <x:row r="16" ht="112" customHeight="1">
      <x:c r="A16" s="22" t="str">
        <x:v>mit60001-q-018</x:v>
      </x:c>
      <x:c r="B16" s="22" t="str">
        <x:v>strong_accept</x:v>
      </x:c>
      <x:c r="C16" s="22" t="str">
        <x:v>What does black-box testing examine according to the course?</x:v>
      </x:c>
      <x:c r="D16" s="22" t="str">
        <x:v>- Black-box testing derives test cases from the function specification or docstring without examining the implementation code.</x:v>
      </x:c>
      <x:c r="E16" s="22" t="str">
        <x:v>The excerpt directly supports the answer that black-box testing examines the specifications of a function.</x:v>
      </x:c>
      <x:c r="F16" s="22" t="str">
        <x:v>9H6muyZjms0:semantic_cosine_wp240_v1:13</x:v>
      </x:c>
      <x:c r="G16" s="22" t="str">
        <x:v>2</x:v>
      </x:c>
      <x:c r="H16" s="22"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c r="I16" s="22" t="str">
        <x:v>https://www.youtube.com/watch?v=9H6muyZjms0&amp;t=511s</x:v>
      </x:c>
      <x:c r="J16" s="22" t="str">
        <x:v>True</x:v>
      </x:c>
      <x:c r="K16" s="97" t="str">
        <x:v>supports</x:v>
      </x:c>
      <x:c r="L16" s="97" t="str">
        <x:v>Directly says black-box tests are derived from the specification/docstring rather than implementation code.</x:v>
      </x:c>
      <x:c r="M16" s="97" t="str">
        <x:v>reviewed</x:v>
      </x:c>
    </x:row>
    <x:row r="17" ht="112" customHeight="1">
      <x:c r="A17" s="22" t="str">
        <x:v>mit60001-q-019</x:v>
      </x:c>
      <x:c r="B17" s="22" t="str">
        <x:v>strong_accept</x:v>
      </x:c>
      <x:c r="C17" s="22" t="str">
        <x:v>According to the lecture, what is the goal of bisection search?</x:v>
      </x:c>
      <x:c r="D17" s="22" t="str">
        <x:v>- Bisection search is used as a search algorithm for finding an approximation within an implicit numeric collection or range.</x:v>
      </x:c>
      <x:c r="E17" s="22" t="str">
        <x:v>The candidate excerpt directly supports the answer that the goal of bisection search is to find an item or a group of items from a collection, whether the collection is implicit or explicit.</x:v>
      </x:c>
      <x:c r="F17" s="22" t="str">
        <x:v>6LOwPhPDwVc:semantic_cosine_wp240_v1:2</x:v>
      </x:c>
      <x:c r="G17" s="22" t="str">
        <x:v>1</x:v>
      </x:c>
      <x:c r="H17" s="22" t="str">
        <x:v>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x:v>
      </x:c>
      <x:c r="I17" s="22" t="str">
        <x:v>https://www.youtube.com/watch?v=6LOwPhPDwVc&amp;t=95s</x:v>
      </x:c>
      <x:c r="J17" s="22" t="str">
        <x:v>True</x:v>
      </x:c>
      <x:c r="K17" s="97" t="str">
        <x:v>supports</x:v>
      </x:c>
      <x:c r="L17" s="97" t="str">
        <x:v>Directly identifies bisection search as a search algorithm over an implicit numeric collection/range for approximation.</x:v>
      </x:c>
      <x:c r="M17" s="97" t="str">
        <x:v>reviewed</x:v>
      </x:c>
    </x:row>
    <x:row r="18" ht="112" customHeight="1">
      <x:c r="A18" s="22" t="str">
        <x:v>mit60001-q-020</x:v>
      </x:c>
      <x:c r="B18" s="22" t="str">
        <x:v>strong_accept</x:v>
      </x:c>
      <x:c r="C18" s="22" t="str">
        <x:v>How does the lecture use len, indexing, and slicing to inspect or extract parts of a string?</x:v>
      </x:c>
      <x:c r="D18" s="22" t="str">
        <x:v>- len returns the number of characters in a string.
- Indexing retrieves the character at a specified position in the string.
- Slicing extracts a substring using start and stop indices and an optional step.</x:v>
      </x:c>
      <x:c r="E18" s="22" t="str">
        <x:v>The candidate excerpt directly supports the answer. The chunk_id 'SE4P7IVCunE:semantic_cosine_wp240_v1:12' mentions 'reverses the string automatically for you' which is equivalent to getting the inverse of the string, and the chunk_id 'SE4P7IVCunE:semantic_cosine_wp240_v1:9' explains how slicing works with a start, stop, and step index.</x:v>
      </x:c>
      <x:c r="F18" s="22" t="str">
        <x:v>SE4P7IVCunE:semantic_cosine_wp240_v1:12</x:v>
      </x:c>
      <x:c r="G18" s="22" t="str">
        <x:v>2</x:v>
      </x:c>
      <x:c r="H18" s="22" t="str">
        <x:v>And that's just going to value
it to the string, itself.
It's the same as 0 to the
length s going every step.
This one might
actually be useful.
It reverses the string
automatically for you.
So with this one
little line here,
you can get the
inverse of your string.
And that's equivalent to that.
So the minus 1 represents
starting from the end
and going back every letter.
And then this one's a little
bit more complicated but also
not too bad.
So as we're doing
these string slices,
again, if you're unsure
what something does,
just type it into Spider.
And you might be surprised.</x:v>
      </x:c>
      <x:c r="I18" s="22" t="str">
        <x:v>https://www.youtube.com/watch?v=SE4P7IVCunE&amp;t=592s</x:v>
      </x:c>
      <x:c r="J18" s="22" t="str">
        <x:v>False</x:v>
      </x:c>
      <x:c r="K18" s="97" t="str">
        <x:v>supports</x:v>
      </x:c>
      <x:c r="L18" s="97" t="str">
        <x:v>Valid evidence for the slicing part: shows step-based slicing and reversing a string, though it does not cover len/indexing by itself.</x:v>
      </x:c>
      <x:c r="M18" s="97" t="str">
        <x:v>reviewed</x:v>
      </x:c>
    </x:row>
    <x:row r="19" ht="112" customHeight="1">
      <x:c r="A19" s="22" t="str">
        <x:v>mit60001-q-020</x:v>
      </x:c>
      <x:c r="B19" s="22" t="str">
        <x:v>strong_accept</x:v>
      </x:c>
      <x:c r="C19" s="22" t="str">
        <x:v>How does the lecture use len, indexing, and slicing to inspect or extract parts of a string?</x:v>
      </x:c>
      <x:c r="D19" s="22" t="str">
        <x:v>- len returns the number of characters in a string.
- Indexing retrieves the character at a specified position in the string.
- Slicing extracts a substring using start and stop indices and an optional step.</x:v>
      </x:c>
      <x:c r="E19" s="22" t="str">
        <x:v>The candidate excerpt directly supports the answer. The chunk_id 'SE4P7IVCunE:semantic_cosine_wp240_v1:12' mentions 'reverses the string automatically for you' which is equivalent to getting the inverse of the string, and the chunk_id 'SE4P7IVCunE:semantic_cosine_wp240_v1:9' explains how slicing works with a start, stop, and step index.</x:v>
      </x:c>
      <x:c r="F19" s="22" t="str">
        <x:v>SE4P7IVCunE:semantic_cosine_wp240_v1:9</x:v>
      </x:c>
      <x:c r="G19" s="22" t="str">
        <x:v>3</x:v>
      </x:c>
      <x:c r="H19" s="22" t="str">
        <x:v>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x:v>
      </x:c>
      <x:c r="I19" s="22" t="str">
        <x:v>https://www.youtube.com/watch?v=SE4P7IVCunE&amp;t=406s</x:v>
      </x:c>
      <x:c r="J19" s="22" t="str">
        <x:v>True</x:v>
      </x:c>
      <x:c r="K19" s="97" t="str">
        <x:v>supports</x:v>
      </x:c>
      <x:c r="L19" s="97" t="str">
        <x:v>Directly explains string slicing with start, stop, and optional step indices.</x:v>
      </x:c>
      <x:c r="M19" s="97" t="str">
        <x:v>reviewed</x:v>
      </x:c>
    </x:row>
    <x:row r="20" ht="112" customHeight="1">
      <x:c r="A20" s="22" t="str">
        <x:v>mit60001-q-022</x:v>
      </x:c>
      <x:c r="B20" s="22" t="str">
        <x:v>needs_human_review</x:v>
      </x:c>
      <x:c r="C20" s="22" t="str">
        <x:v>Why is a dictionary more suitable than a list for key-value lookup?</x:v>
      </x:c>
      <x:c r="D20" s="22" t="str">
        <x:v>- A list is an ordered sequence accessed by integer indices, while a dictionary maps keys to values and is accessed by key.
- Dictionary keys must be immutable.
- List indexing goes directly to a position; dictionary lookup uses a hash-based indexing scheme and trades additional flexibility for lookup cost.</x:v>
      </x:c>
      <x:c r="E20" s="22" t="str">
        <x:v>The candidate excerpt directly supports the answer that a dictionary is more suitable than a list for key-value lookup because it explains that dictionaries allow for indexing by a key or label, making it easier to retrieve values associated with a particular key.</x:v>
      </x:c>
      <x:c r="F20" s="22" t="str">
        <x:v>WPSeyjX1-4s:semantic_cosine_wp240_v1:64</x:v>
      </x:c>
      <x:c r="G20" s="22" t="str">
        <x:v>1</x:v>
      </x:c>
      <x:c r="H20" s="22" t="str">
        <x:v>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x:v>
      </x:c>
      <x:c r="I20" s="22" t="str">
        <x:v>https://www.youtube.com/watch?v=WPSeyjX1-4s&amp;t=2317s</x:v>
      </x:c>
      <x:c r="J20" s="22" t="str">
        <x:v>False</x:v>
      </x:c>
      <x:c r="K20" s="97" t="str">
        <x:v>does_not_support</x:v>
      </x:c>
      <x:c r="L20" s="97" t="str">
        <x:v>Mentions keys, values, and membership iteration but does not explain why dictionary key-value lookup is preferable to list indexing.</x:v>
      </x:c>
      <x:c r="M20" s="97" t="str">
        <x:v>reviewed</x:v>
      </x:c>
    </x:row>
    <x:row r="21" ht="112" customHeight="1">
      <x:c r="A21" s="22" t="str">
        <x:v>mit60001-q-022</x:v>
      </x:c>
      <x:c r="B21" s="22" t="str">
        <x:v>needs_human_review</x:v>
      </x:c>
      <x:c r="C21" s="22" t="str">
        <x:v>Why is a dictionary more suitable than a list for key-value lookup?</x:v>
      </x:c>
      <x:c r="D21" s="22" t="str">
        <x:v>- A list is an ordered sequence accessed by integer indices, while a dictionary maps keys to values and is accessed by key.
- Dictionary keys must be immutable.
- List indexing goes directly to a position; dictionary lookup uses a hash-based indexing scheme and trades additional flexibility for lookup cost.</x:v>
      </x:c>
      <x:c r="E21" s="22" t="str">
        <x:v>The candidate excerpt directly supports the answer that a dictionary is more suitable than a list for key-value lookup because it explains that dictionaries allow for indexing by a key or label, making it easier to retrieve values associated with a particular key.</x:v>
      </x:c>
      <x:c r="F21" s="22" t="str">
        <x:v>WPSeyjX1-4s:semantic_cosine_wp240_v1:59</x:v>
      </x:c>
      <x:c r="G21" s="22" t="str">
        <x:v>2</x:v>
      </x:c>
      <x:c r="H21" s="22" t="str">
        <x:v>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x:v>
      </x:c>
      <x:c r="I21" s="22" t="str">
        <x:v>https://www.youtube.com/watch?v=WPSeyjX1-4s&amp;t=2147s</x:v>
      </x:c>
      <x:c r="J21" s="22" t="str">
        <x:v>False</x:v>
      </x:c>
      <x:c r="K21" s="97" t="str">
        <x:v>supports</x:v>
      </x:c>
      <x:c r="L21" s="97" t="str">
        <x:v>Directly explains that dictionaries associate keys/names with values and are indexed by the key/name.</x:v>
      </x:c>
      <x:c r="M21" s="97" t="str">
        <x:v>reviewed</x:v>
      </x:c>
    </x:row>
    <x:row r="22" ht="112" customHeight="1">
      <x:c r="A22" s="22" t="str">
        <x:v>mit60001-q-022</x:v>
      </x:c>
      <x:c r="B22" s="22" t="str">
        <x:v>needs_human_review</x:v>
      </x:c>
      <x:c r="C22" s="22" t="str">
        <x:v>Why is a dictionary more suitable than a list for key-value lookup?</x:v>
      </x:c>
      <x:c r="D22" s="22" t="str">
        <x:v>- A list is an ordered sequence accessed by integer indices, while a dictionary maps keys to values and is accessed by key.
- Dictionary keys must be immutable.
- List indexing goes directly to a position; dictionary lookup uses a hash-based indexing scheme and trades additional flexibility for lookup cost.</x:v>
      </x:c>
      <x:c r="E22" s="22" t="str">
        <x:v>The candidate excerpt directly supports the answer that a dictionary is more suitable than a list for key-value lookup because it explains that dictionaries allow for indexing by a key or label, making it easier to retrieve values associated with a particular key.</x:v>
      </x:c>
      <x:c r="F22" s="22" t="str">
        <x:v>7lQXYl_L28w:semantic_cosine_wp240_v1:84</x:v>
      </x:c>
      <x:c r="G22" s="22" t="str">
        <x:v>3</x:v>
      </x:c>
      <x:c r="H22" s="22" t="str">
        <x:v>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x:v>
      </x:c>
      <x:c r="I22" s="22" t="str">
        <x:v>https://www.youtube.com/watch?v=7lQXYl_L28w&amp;t=2890s</x:v>
      </x:c>
      <x:c r="J22" s="22" t="str">
        <x:v>True</x:v>
      </x:c>
      <x:c r="K22" s="97" t="str">
        <x:v>supports</x:v>
      </x:c>
      <x:c r="L22" s="97" t="str">
        <x:v>Directly contrasts direct list indexing with dictionary key lookup and discusses the lookup-cost tradeoff.</x:v>
      </x:c>
      <x:c r="M22" s="97" t="str">
        <x:v>reviewed</x:v>
      </x:c>
    </x:row>
    <x:row r="23" ht="112" customHeight="1">
      <x:c r="A23" s="22" t="str">
        <x:v>mit60001-q-026</x:v>
      </x:c>
      <x:c r="B23" s="22" t="str">
        <x:v>needs_human_review</x:v>
      </x:c>
      <x:c r="C23" s="22" t="str">
        <x:v>What happens when a list element is accessed using an index?</x:v>
      </x:c>
      <x:c r="D23" s="22" t="str">
        <x:v>- Python can locate the address of the indexed list slot and follow the stored pointer to the object in memory.
- Because the address of the i-th slot is known, any list element can be accessed by index in constant time.</x:v>
      </x:c>
      <x:c r="E23" s="22" t="str">
        <x:v>The candidate excerpt at rank 1 directly supports the answer that when a list element is accessed using an index, it returns the value at that specific index.</x:v>
      </x:c>
      <x:c r="F23" s="22" t="str">
        <x:v>-DP1i2ZU9gk:semantic_cosine_wp240_v1:8</x:v>
      </x:c>
      <x:c r="G23" s="22" t="str">
        <x:v>1</x:v>
      </x:c>
      <x:c r="H23" s="22" t="str">
        <x:v>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x:v>
      </x:c>
      <x:c r="I23" s="22" t="str">
        <x:v>https://www.youtube.com/watch?v=-DP1i2ZU9gk&amp;t=329s</x:v>
      </x:c>
      <x:c r="J23" s="22" t="str">
        <x:v>True</x:v>
      </x:c>
      <x:c r="K23" s="97" t="str">
        <x:v>does_not_support</x:v>
      </x:c>
      <x:c r="L23" s="97" t="str">
        <x:v>Discusses values and pointers in an internal list representation, but does not entail direct indexed-slot addressing or constant-time indexed access; the chain description is insufficient for the expected answer.</x:v>
      </x:c>
      <x:c r="M23" s="97" t="str">
        <x:v>reviewed</x:v>
      </x:c>
    </x:row>
    <x:row r="24" ht="112" customHeight="1">
      <x:c r="A24" s="22" t="str">
        <x:v>mit60001-q-027</x:v>
      </x:c>
      <x:c r="B24" s="22" t="str">
        <x:v>strong_accept</x:v>
      </x:c>
      <x:c r="C24" s="22" t="str">
        <x:v>How does a for loop process the characters in a string?</x:v>
      </x:c>
      <x:c r="D24" s="22" t="str">
        <x:v>- A for loop over a string iterates directly over every character rather than over numeric indices.
- On each iteration, the loop variable holds one character from the string.</x:v>
      </x:c>
      <x:c r="E24" s="22" t="str">
        <x:v>The candidate excerpt directly supports the answer that a for loop processes the characters in a string by iterating over every character in the string, as shown in the example 'char is going to be a letter. It's going to be a letter. So here's a more complicated example.'</x:v>
      </x:c>
      <x:c r="F24" s="22" t="str">
        <x:v>SE4P7IVCunE:semantic_cosine_wp240_v1:21</x:v>
      </x:c>
      <x:c r="G24" s="22" t="str">
        <x:v>3</x:v>
      </x:c>
      <x:c r="H24" s="22" t="str">
        <x:v>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x:v>
      </x:c>
      <x:c r="I24" s="22" t="str">
        <x:v>https://www.youtube.com/watch?v=SE4P7IVCunE&amp;t=948s</x:v>
      </x:c>
      <x:c r="J24" s="22" t="str">
        <x:v>True</x:v>
      </x:c>
      <x:c r="K24" s="97" t="str">
        <x:v>supports</x:v>
      </x:c>
      <x:c r="L24" s="97" t="str">
        <x:v>Directly explains that a for loop iterates over each character in a string and the loop variable holds a character.</x:v>
      </x:c>
      <x:c r="M24" s="97" t="str">
        <x:v>reviewed</x:v>
      </x:c>
    </x:row>
    <x:row r="25" ht="112" customHeight="1">
      <x:c r="A25" s="22" t="str">
        <x:v>mit60001-q-029</x:v>
      </x:c>
      <x:c r="B25" s="22" t="str">
        <x:v>strong_accept</x:v>
      </x:c>
      <x:c r="C25" s="22" t="str">
        <x:v>How does a function return a value to its caller?</x:v>
      </x:c>
      <x:c r="D25" s="22" t="str">
        <x:v>- A return statement specifies an expression whose evaluated value is sent back by the function.
- The code that called the function receives that returned value.</x:v>
      </x:c>
      <x:c r="E25" s="22" t="str">
        <x:v>The candidate excerpt at rank 1 directly supports the answer. It explains how a function returns a value to its caller by stating 'so we're returning x' and 'so in the scope of f, x is equal to 4, so we're returning that value back to whoever called it'.</x:v>
      </x:c>
      <x:c r="F25" s="22" t="str">
        <x:v>MjbuarJ7SE0:semantic_cosine_wp240_v1:27</x:v>
      </x:c>
      <x:c r="G25" s="22" t="str">
        <x:v>1</x:v>
      </x:c>
      <x:c r="H25" s="22" t="str">
        <x:v>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x:v>
      </x:c>
      <x:c r="I25" s="22" t="str">
        <x:v>https://www.youtube.com/watch?v=MjbuarJ7SE0&amp;t=1203s</x:v>
      </x:c>
      <x:c r="J25" s="22" t="str">
        <x:v>False</x:v>
      </x:c>
      <x:c r="K25" s="97" t="str">
        <x:v>supports</x:v>
      </x:c>
      <x:c r="L25" s="97" t="str">
        <x:v>Directly shows a return value being sent back to the caller and replacing the function call in the caller scope.</x:v>
      </x:c>
      <x:c r="M25" s="97" t="str">
        <x:v>reviewed</x:v>
      </x:c>
    </x:row>
    <x:row r="26" ht="112" customHeight="1">
      <x:c r="A26" s="22" t="str">
        <x:v>mit60001-q-030</x:v>
      </x:c>
      <x:c r="B26" s="22" t="str">
        <x:v>strong_accept</x:v>
      </x:c>
      <x:c r="C26" s="22" t="str">
        <x:v>What role does self play when a method is called on an object?</x:v>
      </x:c>
      <x:c r="D26" s="22" t="str">
        <x:v>- self represents the particular instance on which a method operates.
- Instance attributes are referenced with self.attribute, and self is the first parameter of an instance method.</x:v>
      </x:c>
      <x:c r="E26" s="22" t="str">
        <x:v>The candidate excerpt directly supports the answer that 'self' plays the role of a placeholder for any sort of instance when creating an object, and is used to refer to attributes and methods of an instance.</x:v>
      </x:c>
      <x:c r="F26" s="22" t="str">
        <x:v>-DP1i2ZU9gk:semantic_cosine_wp240_v1:21</x:v>
      </x:c>
      <x:c r="G26" s="22" t="str">
        <x:v>1</x:v>
      </x:c>
      <x:c r="H26" s="22" t="str">
        <x:v>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x:v>
      </x:c>
      <x:c r="I26" s="22" t="str">
        <x:v>https://www.youtube.com/watch?v=-DP1i2ZU9gk&amp;t=917s</x:v>
      </x:c>
      <x:c r="J26" s="22" t="str">
        <x:v>True</x:v>
      </x:c>
      <x:c r="K26" s="97" t="str">
        <x:v>supports</x:v>
      </x:c>
      <x:c r="L26" s="97" t="str">
        <x:v>Directly says self represents a particular instance of the class.</x:v>
      </x:c>
      <x:c r="M26" s="97" t="str">
        <x:v>reviewed</x:v>
      </x:c>
    </x:row>
    <x:row r="27" ht="112" customHeight="1">
      <x:c r="A27" s="22" t="str">
        <x:v>mit60001-q-030</x:v>
      </x:c>
      <x:c r="B27" s="22" t="str">
        <x:v>strong_accept</x:v>
      </x:c>
      <x:c r="C27" s="22" t="str">
        <x:v>What role does self play when a method is called on an object?</x:v>
      </x:c>
      <x:c r="D27" s="22" t="str">
        <x:v>- self represents the particular instance on which a method operates.
- Instance attributes are referenced with self.attribute, and self is the first parameter of an instance method.</x:v>
      </x:c>
      <x:c r="E27" s="22" t="str">
        <x:v>The candidate excerpt directly supports the answer that 'self' plays the role of a placeholder for any sort of instance when creating an object, and is used to refer to attributes and methods of an instance.</x:v>
      </x:c>
      <x:c r="F27" s="22" t="str">
        <x:v>-DP1i2ZU9gk:semantic_cosine_wp240_v1:22</x:v>
      </x:c>
      <x:c r="G27" s="22" t="str">
        <x:v>2</x:v>
      </x:c>
      <x:c r="H27" s="22" t="str">
        <x:v>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x:v>
      </x:c>
      <x:c r="I27" s="22" t="str">
        <x:v>https://www.youtube.com/watch?v=-DP1i2ZU9gk&amp;t=954s</x:v>
      </x:c>
      <x:c r="J27" s="22" t="str">
        <x:v>True</x:v>
      </x:c>
      <x:c r="K27" s="97" t="str">
        <x:v>supports</x:v>
      </x:c>
      <x:c r="L27" s="97" t="str">
        <x:v>Directly explains self as the first method parameter and self.attribute notation for instance attributes.</x:v>
      </x:c>
      <x:c r="M27" s="97" t="str">
        <x:v>reviewed</x:v>
      </x:c>
    </x:row>
    <x:row r="28" ht="112" customHeight="1">
      <x:c r="A28" s="22" t="str">
        <x:v>mit60001-q-030</x:v>
      </x:c>
      <x:c r="B28" s="22" t="str">
        <x:v>strong_accept</x:v>
      </x:c>
      <x:c r="C28" s="22" t="str">
        <x:v>What role does self play when a method is called on an object?</x:v>
      </x:c>
      <x:c r="D28" s="22" t="str">
        <x:v>- self represents the particular instance on which a method operates.
- Instance attributes are referenced with self.attribute, and self is the first parameter of an instance method.</x:v>
      </x:c>
      <x:c r="E28" s="22" t="str">
        <x:v>The candidate excerpt directly supports the answer that 'self' plays the role of a placeholder for any sort of instance when creating an object, and is used to refer to attributes and methods of an instance.</x:v>
      </x:c>
      <x:c r="F28" s="22" t="str">
        <x:v>FlGjISF3l78:semantic_cosine_wp240_v1:5</x:v>
      </x:c>
      <x:c r="G28" s="22" t="str">
        <x:v>3</x:v>
      </x:c>
      <x:c r="H28" s="22" t="str">
        <x:v>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x:v>
      </x:c>
      <x:c r="I28" s="22" t="str">
        <x:v>https://www.youtube.com/watch?v=FlGjISF3l78&amp;t=239s</x:v>
      </x:c>
      <x:c r="J28" s="22" t="str">
        <x:v>False</x:v>
      </x:c>
      <x:c r="K28" s="97" t="str">
        <x:v>supports</x:v>
      </x:c>
      <x:c r="L28" s="97" t="str">
        <x:v>Directly explains using self to refer generically to instance data attributes and methods.</x:v>
      </x:c>
      <x:c r="M28" s="97" t="str">
        <x:v>reviewed</x:v>
      </x:c>
    </x:row>
    <x:row r="29" ht="112" customHeight="1">
      <x:c r="A29" s="22" t="str">
        <x:v>mit60001-q-031</x:v>
      </x:c>
      <x:c r="B29" s="22" t="str">
        <x:v>needs_human_review</x:v>
      </x:c>
      <x:c r="C29" s="22" t="str">
        <x:v>What happens when a list is mutated through one of several aliases?</x:v>
      </x:c>
      <x:c r="D29" s="22" t="str">
        <x:v>- All aliases point to the same mutable list object in memory.
- Mutating the list through one alias changes that shared object, so the changed value is visible through every alias.</x:v>
      </x:c>
      <x:c r="E29" s="22" t="str">
        <x:v>The candidate excerpt directly supports the answer that when a list is mutated through one of several aliases, all the aliases will refer to the same person object with the changed attributes.</x:v>
      </x:c>
      <x:c r="F29" s="22" t="str">
        <x:v>RvRKT-jXvko:semantic_cosine_wp240_v1:47</x:v>
      </x:c>
      <x:c r="G29" s="22" t="str">
        <x:v>1</x:v>
      </x:c>
      <x:c r="H29" s="22" t="str">
        <x:v>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c r="I29" s="22" t="str">
        <x:v>https://www.youtube.com/watch?v=RvRKT-jXvko&amp;t=1995s</x:v>
      </x:c>
      <x:c r="J29" s="22" t="str">
        <x:v>False</x:v>
      </x:c>
      <x:c r="K29" s="97" t="str">
        <x:v>supports</x:v>
      </x:c>
      <x:c r="L29" s="97" t="str">
        <x:v>Directly explains aliases referring to the same mutable object and all aliases seeing the changed object.</x:v>
      </x:c>
      <x:c r="M29" s="97" t="str">
        <x:v>reviewed</x:v>
      </x:c>
    </x:row>
    <x:row r="30" ht="112" customHeight="1">
      <x:c r="A30" s="22" t="str">
        <x:v>mit60001-q-033</x:v>
      </x:c>
      <x:c r="B30" s="22" t="str">
        <x:v>strong_accept</x:v>
      </x:c>
      <x:c r="C30" s="22" t="str">
        <x:v>How does the course connect decomposition and abstraction when building programs with functions?</x:v>
      </x:c>
      <x:c r="D30" s="22" t="str">
        <x:v>- Decomposition creates structure by splitting a program into functional units.
- Abstraction suppresses implementation details behind a function specification or docstring.
- Once a task is implemented as a function, it can be reused without rewriting the code or knowing its internal details.</x:v>
      </x:c>
      <x:c r="E30" s="22" t="str">
        <x:v>The candidate excerpt at rank 2 directly supports the answer. It explains how abstraction is used in programming by suppressing details, allowing for reusable code and reducing debugging time.</x:v>
      </x:c>
      <x:c r="F30" s="22" t="str">
        <x:v>MjbuarJ7SE0:semantic_cosine_wp240_v1:13</x:v>
      </x:c>
      <x:c r="G30" s="22" t="str">
        <x:v>2</x:v>
      </x:c>
      <x:c r="H30" s="22" t="str">
        <x:v>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c r="I30" s="22" t="str">
        <x:v>https://www.youtube.com/watch?v=MjbuarJ7SE0&amp;t=548s</x:v>
      </x:c>
      <x:c r="J30" s="22" t="str">
        <x:v>True</x:v>
      </x:c>
      <x:c r="K30" s="97" t="str">
        <x:v>supports</x:v>
      </x:c>
      <x:c r="L30" s="97" t="str">
        <x:v>Directly defines decomposition as code structure and abstraction as suppressing details, with functions/docstrings enabling reuse.</x:v>
      </x:c>
      <x:c r="M30" s="97" t="str">
        <x:v>reviewed</x:v>
      </x:c>
    </x:row>
    <x:row r="31" ht="112" customHeight="1">
      <x:c r="A31" s="22" t="str">
        <x:v>mit60001-q-034</x:v>
      </x:c>
      <x:c r="B31" s="22" t="str">
        <x:v>needs_human_review</x:v>
      </x:c>
      <x:c r="C31" s="22" t="str">
        <x:v>How does the course connect testing and debugging when finding program errors?</x:v>
      </x:c>
      <x:c r="D31" s="22" t="str">
        <x:v>- Testing uses expected and actual results to identify what is wrong.
- Debugging then determines how or why the bad result occurred and pinpoints the responsible line, lines, or function.</x:v>
      </x:c>
      <x:c r="E31" s="22" t="str">
        <x:v>The candidate excerpt directly supports the answer by explaining how the course connects testing and debugging when finding program errors, stating that the debugging process is figuring out how the result took place and using the scientific method to study test cases and come up with hypotheses.</x:v>
      </x:c>
      <x:c r="F31" s="22" t="str">
        <x:v>9H6muyZjms0:semantic_cosine_wp240_v1:25</x:v>
      </x:c>
      <x:c r="G31" s="22" t="str">
        <x:v>2</x:v>
      </x:c>
      <x:c r="H31" s="22" t="str">
        <x:v>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x:v>
      </x:c>
      <x:c r="I31" s="22" t="str">
        <x:v>https://www.youtube.com/watch?v=9H6muyZjms0&amp;t=1035s</x:v>
      </x:c>
      <x:c r="J31" s="22" t="str">
        <x:v>True</x:v>
      </x:c>
      <x:c r="K31" s="97" t="str">
        <x:v>supports</x:v>
      </x:c>
      <x:c r="L31" s="97" t="str">
        <x:v>Directly separates testing (what is wrong) from debugging (how the result occurred) and describes hypothesis-driven debugging.</x:v>
      </x:c>
      <x:c r="M31" s="97" t="str">
        <x:v>reviewed</x:v>
      </x:c>
    </x:row>
    <x:row r="32" ht="112" customHeight="1">
      <x:c r="A32" s="22" t="str">
        <x:v>mit60001-q-035</x:v>
      </x:c>
      <x:c r="B32" s="22" t="str">
        <x:v>needs_human_review</x:v>
      </x:c>
      <x:c r="C32" s="22" t="str">
        <x:v>How does the course connect list aliasing with mutation side effects?</x:v>
      </x:c>
      <x:c r="D32" s="22" t="str">
        <x:v>- Aliasing means two names can point to the same list object.
- Because the list is mutable, a change made through one alias changes the shared object and appears through the other alias.
- This shared visible change is a mutation side effect.</x:v>
      </x:c>
      <x:c r="E32" s="22" t="str">
        <x:v>The candidate excerpt at rank 2 directly supports the answer by explaining how lists are mutable and can lead to aliasing, where two names point to the same list structure, and changing the contents of one list affects the appearance of the other.</x:v>
      </x:c>
      <x:c r="F32" s="22" t="str">
        <x:v>WPSeyjX1-4s:semantic_cosine_wp240_v1:1</x:v>
      </x:c>
      <x:c r="G32" s="22" t="str">
        <x:v>2</x:v>
      </x:c>
      <x:c r="H32" s="22" t="str">
        <x:v>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c r="I32" s="22" t="str">
        <x:v>https://www.youtube.com/watch?v=WPSeyjX1-4s&amp;t=53s</x:v>
      </x:c>
      <x:c r="J32" s="22" t="str">
        <x:v>True</x:v>
      </x:c>
      <x:c r="K32" s="97" t="str">
        <x:v>supports</x:v>
      </x:c>
      <x:c r="L32" s="97" t="str">
        <x:v>Directly explains list mutability, aliasing, shared changes, and the resulting side effects.</x:v>
      </x:c>
      <x:c r="M32" s="97" t="str">
        <x:v>reviewed</x:v>
      </x:c>
    </x:row>
    <x:row r="33" ht="112" customHeight="1">
      <x:c r="A33" s="22" t="str">
        <x:v>mit60001-q-038</x:v>
      </x:c>
      <x:c r="B33" s="22" t="str">
        <x:v>strong_reject</x:v>
      </x:c>
      <x:c r="C33" s="22" t="str">
        <x:v>How does the requirement for sorted input distinguish binary search from linear search?</x:v>
      </x:c>
      <x:c r="D33" s="22" t="str">
        <x:v>- Bisection search requires the list to be sorted, and the ordering lets it cut down the size of the remaining search problem.
- Linear search does not require sorted input and may scan through the list until it finds the target or reaches the end.</x:v>
      </x:c>
      <x:c r="E33" s="22" t="str">
        <x:v>The candidate excerpt directly supports the answer by explaining that the requirement for sorted input distinguishes binary search from linear search, as binary search can be done in log time, whereas linear search has a linear time complexity.</x:v>
      </x:c>
      <x:c r="F33" s="22" t="str">
        <x:v>6LOwPhPDwVc:semantic_cosine_wp240_v1:14</x:v>
      </x:c>
      <x:c r="G33" s="22" t="str">
        <x:v>1</x:v>
      </x:c>
      <x:c r="H33" s="22" t="str">
        <x:v>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x:v>
      </x:c>
      <x:c r="I33" s="22" t="str">
        <x:v>https://www.youtube.com/watch?v=6LOwPhPDwVc&amp;t=477s</x:v>
      </x:c>
      <x:c r="J33" s="22" t="str">
        <x:v>False</x:v>
      </x:c>
      <x:c r="K33" s="97" t="str">
        <x:v>supports</x:v>
      </x:c>
      <x:c r="L33" s="97" t="str">
        <x:v>States that binary/bisection search assumes sorted input and contrasts its logarithmic search with linear search; this is valid semantic support despite no GT time overlap.</x:v>
      </x:c>
      <x:c r="M33" s="97" t="str">
        <x:v>reviewed</x:v>
      </x:c>
    </x:row>
    <x:row r="34" ht="112" customHeight="1">
      <x:c r="A34" s="22" t="str">
        <x:v>mit60001-q-039</x:v>
      </x:c>
      <x:c r="B34" s="22" t="str">
        <x:v>strong_accept</x:v>
      </x:c>
      <x:c r="C34" s="22" t="str">
        <x:v>How does the course distinguish black-box testing from glass-box testing?</x:v>
      </x:c>
      <x:c r="D34" s="22" t="str">
        <x:v>- Black-box testing creates tests from the specification or docstring without using the implementation code.
- Glass-box testing uses the code itself to design tests that exercise its possible execution paths.</x:v>
      </x:c>
      <x:c r="E34" s="22" t="str">
        <x:v>The candidate excerpt directly supports the answer to the question 'How does the course distinguish black-box testing from glass-box testing?' by explaining the key differences between the two testing methods: black box testing relies on specifications, while glass box testing uses the code itself to guide test cases.</x:v>
      </x:c>
      <x:c r="F34" s="22" t="str">
        <x:v>9H6muyZjms0:semantic_cosine_wp240_v1:13</x:v>
      </x:c>
      <x:c r="G34" s="22" t="str">
        <x:v>2</x:v>
      </x:c>
      <x:c r="H34" s="22"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c r="I34" s="22" t="str">
        <x:v>https://www.youtube.com/watch?v=9H6muyZjms0&amp;t=511s</x:v>
      </x:c>
      <x:c r="J34" s="22" t="str">
        <x:v>True</x:v>
      </x:c>
      <x:c r="K34" s="97" t="str">
        <x:v>supports</x:v>
      </x:c>
      <x:c r="L34" s="97" t="str">
        <x:v>Directly contrasts black-box testing from specifications/docstrings with glass-box testing from code paths.</x:v>
      </x:c>
      <x:c r="M34" s="97" t="str">
        <x:v>reviewed</x:v>
      </x:c>
    </x:row>
    <x:row r="35" ht="112" customHeight="1">
      <x:c r="A35" s="22" t="str">
        <x:v>mit60001-q-039</x:v>
      </x:c>
      <x:c r="B35" s="22" t="str">
        <x:v>strong_accept</x:v>
      </x:c>
      <x:c r="C35" s="22" t="str">
        <x:v>How does the course distinguish black-box testing from glass-box testing?</x:v>
      </x:c>
      <x:c r="D35" s="22" t="str">
        <x:v>- Black-box testing creates tests from the specification or docstring without using the implementation code.
- Glass-box testing uses the code itself to design tests that exercise its possible execution paths.</x:v>
      </x:c>
      <x:c r="E35" s="22" t="str">
        <x:v>The candidate excerpt directly supports the answer to the question 'How does the course distinguish black-box testing from glass-box testing?' by explaining the key differences between the two testing methods: black box testing relies on specifications, while glass box testing uses the code itself to guide test cases.</x:v>
      </x:c>
      <x:c r="F35" s="22" t="str">
        <x:v>9H6muyZjms0:semantic_cosine_wp240_v1:15</x:v>
      </x:c>
      <x:c r="G35" s="22" t="str">
        <x:v>1</x:v>
      </x:c>
      <x:c r="H35" s="22" t="str">
        <x:v>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x:v>
      </x:c>
      <x:c r="I35" s="22" t="str">
        <x:v>https://www.youtube.com/watch?v=9H6muyZjms0&amp;t=607s</x:v>
      </x:c>
      <x:c r="J35" s="22" t="str">
        <x:v>True</x:v>
      </x:c>
      <x:c r="K35" s="97" t="str">
        <x:v>supports</x:v>
      </x:c>
      <x:c r="L35" s="97" t="str">
        <x:v>Directly states that black-box tests use specifications only while glass-box tests use code to guide test cases.</x:v>
      </x:c>
      <x:c r="M35" s="97" t="str">
        <x:v>reviewed</x:v>
      </x:c>
    </x:row>
    <x:row r="36" ht="112" customHeight="1">
      <x:c r="A36" s="23" t="str">
        <x:v>mit60001-q-040</x:v>
      </x:c>
      <x:c r="B36" s="23" t="str">
        <x:v>strong_reject</x:v>
      </x:c>
      <x:c r="C36" s="23" t="str">
        <x:v>How does the course distinguish an exception from an assertion failure?</x:v>
      </x:c>
      <x:c r="D36" s="23" t="str">
        <x:v>- Exceptions are appropriate for signaling or handling bad data supplied by a user.
- Assertions check programmer assumptions such as input types and other function conditions, helping expose bugs early.</x:v>
      </x:c>
      <x:c r="E36" s="23" t="str">
        <x:v>The candidate excerpt directly supports the answer by explaining that assertions are used to make sure that the assumptions on computations are exactly what the function expects them to be, and that if an assertion becomes false, the function will immediately terminate.</x:v>
      </x:c>
      <x:c r="F36" s="23" t="str">
        <x:v>9H6muyZjms0:semantic_cosine_wp240_v1:51</x:v>
      </x:c>
      <x:c r="G36" s="23" t="str">
        <x:v>1</x:v>
      </x:c>
      <x:c r="H36" s="23"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c r="I36" s="23" t="str">
        <x:v>https://www.youtube.com/watch?v=9H6muyZjms0&amp;t=2375s</x:v>
      </x:c>
      <x:c r="J36" s="23" t="str">
        <x:v>False</x:v>
      </x:c>
      <x:c r="K36" s="98" t="str">
        <x:v>does_not_support</x:v>
      </x:c>
      <x:c r="L36" s="98" t="str">
        <x:v>Explains assertion behavior and programmer pre/postconditions, but does not provide the exception/user-bad-data side needed to distinguish exceptions from assertion failures.</x:v>
      </x:c>
      <x:c r="M36" s="98" t="str">
        <x:v>reviewed</x:v>
      </x:c>
    </x:row>
  </x:sheetData>
  <x:conditionalFormatting sqref="M2:M36">
    <x:cfRule type="containsText" dxfId="3" priority="1" operator="containsText" text="reviewed"/>
  </x:conditionalFormatting>
  <x:conditionalFormatting sqref="J2:J36">
    <x:cfRule type="containsText" dxfId="4" priority="2" operator="containsText" text="False"/>
  </x:conditionalFormatting>
  <x:dataValidations count="2">
    <x:dataValidation type="list" sqref="K2:K36">
      <x:formula1>"supports,does_not_support,needs_discussion"</x:formula1>
    </x:dataValidation>
    <x:dataValidation type="list" sqref="M2:M36">
      <x:formula1>"pending,reviewed"</x:formula1>
    </x:dataValidation>
  </x:dataValidations>
  <x:pageMargins left="0.7" right="0.7" top="0.75" bottom="0.75" header="0.3" footer="0.3"/>
  <x:tableParts count="1">
    <x:tablePart xmlns:r="http://schemas.openxmlformats.org/officeDocument/2006/relationships" r:id="R81e1c356f587495e"/>
  </x:tableParts>
</x:worksheet>
</file>